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0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<sst xmlns="http://schemas.openxmlformats.org/spreadsheetml/2006/main" count="981" uniqueCount="26">
  <si>
    <t xml:space="preserve">Estado</t>
  </si>
  <si>
    <t xml:space="preserve">Produto</t>
  </si>
  <si>
    <t xml:space="preserve">Mês</t>
  </si>
  <si>
    <t xml:space="preserve">Unidade de Medida</t>
  </si>
  <si>
    <t xml:space="preserve">Max</t>
  </si>
  <si>
    <t xml:space="preserve">Min</t>
  </si>
  <si>
    <t xml:space="preserve">Média</t>
  </si>
  <si>
    <t xml:space="preserve">Desvio Padrão</t>
  </si>
  <si>
    <t xml:space="preserve">Variação de Porcentagem</t>
  </si>
  <si>
    <t xml:space="preserve">AL</t>
  </si>
  <si>
    <t xml:space="preserve">Diesel</t>
  </si>
  <si>
    <t xml:space="preserve">L</t>
  </si>
  <si>
    <t xml:space="preserve">Diesel S10</t>
  </si>
  <si>
    <t xml:space="preserve">Etanol</t>
  </si>
  <si>
    <t xml:space="preserve">Gasolina</t>
  </si>
  <si>
    <t xml:space="preserve">Gasolina Aditivada</t>
  </si>
  <si>
    <t xml:space="preserve">GNV</t>
  </si>
  <si>
    <t xml:space="preserve"> m³</t>
  </si>
  <si>
    <t xml:space="preserve">BA</t>
  </si>
  <si>
    <t xml:space="preserve">CE</t>
  </si>
  <si>
    <t xml:space="preserve">MA</t>
  </si>
  <si>
    <t xml:space="preserve">PB</t>
  </si>
  <si>
    <t xml:space="preserve">PE</t>
  </si>
  <si>
    <t xml:space="preserve">PI</t>
  </si>
  <si>
    <t xml:space="preserve">RN</t>
  </si>
  <si>
    <t xml:space="preserve">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</si>
</sst>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&quot;R$ &quot;* #,##0.00_-;&quot;-R$ &quot;* #,##0.00_-;_-&quot;R$ &quot;* \-??_-;_-@_-"/>
    <numFmt numFmtId="166" formatCode="0.00"/>
    <numFmt numFmtId="167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25"/>
  <sheetViews>
    <sheetView showFormulas="false" showGridLines="true" showRowColHeaders="true" showZeros="true" rightToLeft="false" tabSelected="true" showOutlineSymbols="true" defaultGridColor="true" view="normal" topLeftCell="E1" colorId="64" zoomScale="99" zoomScaleNormal="99" zoomScalePageLayoutView="100" workbookViewId="0">
      <selection pane="topLeft" activeCell="I1" activeCellId="0" sqref="I1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" min="2" style="1" width="18.11"/>
    <col collapsed="false" customWidth="true" hidden="false" outlineLevel="0" max="3" min="3" style="1" width="17.56"/>
    <col collapsed="false" customWidth="true" hidden="false" outlineLevel="0" max="4" min="4" style="1" width="16.89"/>
    <col collapsed="false" customWidth="true" hidden="false" outlineLevel="0" max="6" min="5" style="2" width="11.89"/>
    <col collapsed="false" customWidth="true" hidden="false" outlineLevel="0" max="7" min="7" style="2" width="14.33"/>
    <col collapsed="false" customWidth="true" hidden="false" outlineLevel="0" max="8" min="8" style="3" width="16.11"/>
    <col collapsed="false" customWidth="true" hidden="false" outlineLevel="0" max="9" min="9" style="2" width="21.83"/>
    <col collapsed="false" customWidth="true" hidden="false" outlineLevel="0" max="10" min="10" style="3" width="16.11"/>
    <col collapsed="false" customWidth="true" hidden="false" outlineLevel="0" max="11" min="11" style="4" width="28.11"/>
    <col collapsed="false" customWidth="true" hidden="false" outlineLevel="0" max="12" min="12" style="4" width="23.44"/>
    <col collapsed="false" customWidth="true" hidden="false" outlineLevel="0" max="18" min="18" style="1" width="10.88"/>
  </cols>
  <sheetData>
    <row r="1" customFormat="false" ht="14.2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customFormat="false" ht="14.25" hidden="false" customHeight="false" outlineLevel="0" collapsed="false">
      <c r="A2" s="1" t="s">
        <v>9</v>
      </c>
      <c r="B2" s="1" t="s">
        <v>10</v>
      </c>
      <c r="C2" s="1" t="n">
        <v>1</v>
      </c>
      <c r="D2" s="7" t="s">
        <v>11</v>
      </c>
      <c r="E2" s="2" t="n">
        <v>6.83</v>
      </c>
      <c r="F2" s="2" t="n">
        <v>5.96</v>
      </c>
      <c r="G2" s="2" t="n">
        <v>6.44</v>
      </c>
      <c r="H2" s="3" t="n">
        <v>0.3</v>
      </c>
      <c r="I2" s="4" t="n">
        <f aca="false">(G8-G2)/G2</f>
        <v>0.0481366459627329</v>
      </c>
      <c r="N2" s="2"/>
      <c r="O2" s="2"/>
      <c r="P2" s="2"/>
      <c r="Q2" s="2"/>
      <c r="R2" s="3"/>
      <c r="S2" s="4"/>
    </row>
    <row r="3" customFormat="false" ht="14.25" hidden="false" customHeight="false" outlineLevel="0" collapsed="false">
      <c r="A3" s="1" t="s">
        <v>9</v>
      </c>
      <c r="B3" s="1" t="s">
        <v>12</v>
      </c>
      <c r="C3" s="1" t="n">
        <v>1</v>
      </c>
      <c r="D3" s="7" t="s">
        <v>11</v>
      </c>
      <c r="E3" s="2" t="n">
        <v>6.85</v>
      </c>
      <c r="F3" s="2" t="n">
        <v>5.78</v>
      </c>
      <c r="G3" s="2" t="n">
        <v>6.23</v>
      </c>
      <c r="H3" s="3" t="n">
        <v>0.35</v>
      </c>
      <c r="I3" s="4" t="n">
        <f aca="false">(G9-G3)/G3</f>
        <v>0.0513643659711075</v>
      </c>
      <c r="N3" s="2"/>
      <c r="O3" s="2"/>
      <c r="P3" s="2"/>
      <c r="Q3" s="2"/>
      <c r="R3" s="3"/>
      <c r="S3" s="4"/>
    </row>
    <row r="4" customFormat="false" ht="14.25" hidden="false" customHeight="false" outlineLevel="0" collapsed="false">
      <c r="A4" s="1" t="s">
        <v>9</v>
      </c>
      <c r="B4" s="1" t="s">
        <v>13</v>
      </c>
      <c r="C4" s="1" t="n">
        <v>1</v>
      </c>
      <c r="D4" s="7" t="s">
        <v>11</v>
      </c>
      <c r="E4" s="2" t="n">
        <v>5.19</v>
      </c>
      <c r="F4" s="2" t="n">
        <v>4.15</v>
      </c>
      <c r="G4" s="2" t="n">
        <v>4.73</v>
      </c>
      <c r="H4" s="3" t="n">
        <v>0.25</v>
      </c>
      <c r="I4" s="4" t="n">
        <f aca="false">(G10-G4)/G4</f>
        <v>0.0528541226215645</v>
      </c>
      <c r="N4" s="2"/>
      <c r="O4" s="2"/>
      <c r="P4" s="2"/>
      <c r="Q4" s="2"/>
      <c r="R4" s="3"/>
      <c r="S4" s="4"/>
    </row>
    <row r="5" customFormat="false" ht="14.25" hidden="false" customHeight="false" outlineLevel="0" collapsed="false">
      <c r="A5" s="1" t="s">
        <v>9</v>
      </c>
      <c r="B5" s="1" t="s">
        <v>14</v>
      </c>
      <c r="C5" s="1" t="n">
        <v>1</v>
      </c>
      <c r="D5" s="7" t="s">
        <v>11</v>
      </c>
      <c r="E5" s="2" t="n">
        <v>6.94</v>
      </c>
      <c r="F5" s="2" t="n">
        <v>5.89</v>
      </c>
      <c r="G5" s="2" t="n">
        <v>6.31</v>
      </c>
      <c r="H5" s="3" t="n">
        <v>0.31</v>
      </c>
      <c r="I5" s="4" t="n">
        <f aca="false">(G11-G5)/G5</f>
        <v>0.0332805071315372</v>
      </c>
      <c r="N5" s="2"/>
      <c r="O5" s="2"/>
      <c r="P5" s="2"/>
      <c r="Q5" s="2"/>
      <c r="R5" s="3"/>
      <c r="S5" s="4"/>
    </row>
    <row r="6" customFormat="false" ht="14.25" hidden="false" customHeight="false" outlineLevel="0" collapsed="false">
      <c r="A6" s="1" t="s">
        <v>9</v>
      </c>
      <c r="B6" s="1" t="s">
        <v>15</v>
      </c>
      <c r="C6" s="1" t="n">
        <v>1</v>
      </c>
      <c r="D6" s="7" t="s">
        <v>11</v>
      </c>
      <c r="E6" s="2" t="n">
        <v>7.23</v>
      </c>
      <c r="F6" s="2" t="n">
        <v>5.89</v>
      </c>
      <c r="G6" s="2" t="n">
        <v>6.48</v>
      </c>
      <c r="H6" s="3" t="n">
        <v>0.29</v>
      </c>
      <c r="I6" s="4" t="n">
        <f aca="false">(G12-G6)/G6</f>
        <v>0.0308641975308641</v>
      </c>
      <c r="N6" s="2"/>
      <c r="O6" s="2"/>
      <c r="P6" s="2"/>
      <c r="Q6" s="2"/>
      <c r="R6" s="3"/>
      <c r="S6" s="4"/>
    </row>
    <row r="7" customFormat="false" ht="14.25" hidden="false" customHeight="false" outlineLevel="0" collapsed="false">
      <c r="A7" s="1" t="s">
        <v>9</v>
      </c>
      <c r="B7" s="1" t="s">
        <v>16</v>
      </c>
      <c r="C7" s="1" t="n">
        <v>1</v>
      </c>
      <c r="D7" s="7" t="s">
        <v>17</v>
      </c>
      <c r="E7" s="2" t="n">
        <v>4.99</v>
      </c>
      <c r="F7" s="2" t="n">
        <v>4.45</v>
      </c>
      <c r="G7" s="2" t="n">
        <v>4.96</v>
      </c>
      <c r="H7" s="3" t="n">
        <v>0.11</v>
      </c>
      <c r="I7" s="4" t="n">
        <f aca="false">(G13-G7)/G7</f>
        <v>-0.0120967741935483</v>
      </c>
      <c r="N7" s="2"/>
      <c r="O7" s="2"/>
      <c r="P7" s="2"/>
      <c r="Q7" s="2"/>
      <c r="R7" s="3"/>
      <c r="S7" s="4"/>
    </row>
    <row r="8" customFormat="false" ht="14.25" hidden="false" customHeight="false" outlineLevel="0" collapsed="false">
      <c r="A8" s="1" t="s">
        <v>9</v>
      </c>
      <c r="B8" s="1" t="s">
        <v>10</v>
      </c>
      <c r="C8" s="1" t="n">
        <v>2</v>
      </c>
      <c r="D8" s="7" t="s">
        <v>11</v>
      </c>
      <c r="E8" s="2" t="n">
        <v>7.08</v>
      </c>
      <c r="F8" s="2" t="n">
        <v>6.24</v>
      </c>
      <c r="G8" s="2" t="n">
        <v>6.75</v>
      </c>
      <c r="H8" s="3" t="n">
        <v>0.25</v>
      </c>
      <c r="I8" s="4" t="n">
        <f aca="false">(G14-G8)/G8</f>
        <v>-0.0029629629629629</v>
      </c>
      <c r="N8" s="2"/>
      <c r="O8" s="2"/>
      <c r="P8" s="2"/>
      <c r="Q8" s="2"/>
      <c r="R8" s="3"/>
      <c r="S8" s="4"/>
    </row>
    <row r="9" customFormat="false" ht="14.25" hidden="false" customHeight="false" outlineLevel="0" collapsed="false">
      <c r="A9" s="1" t="s">
        <v>9</v>
      </c>
      <c r="B9" s="1" t="s">
        <v>12</v>
      </c>
      <c r="C9" s="1" t="n">
        <v>2</v>
      </c>
      <c r="D9" s="7" t="s">
        <v>11</v>
      </c>
      <c r="E9" s="2" t="n">
        <v>7.19</v>
      </c>
      <c r="F9" s="2" t="n">
        <v>5.79</v>
      </c>
      <c r="G9" s="2" t="n">
        <v>6.55</v>
      </c>
      <c r="H9" s="3" t="n">
        <v>0.33</v>
      </c>
      <c r="I9" s="4" t="n">
        <f aca="false">(G15-G9)/G9</f>
        <v>0</v>
      </c>
      <c r="N9" s="2"/>
      <c r="O9" s="2"/>
      <c r="P9" s="2"/>
      <c r="Q9" s="2"/>
      <c r="R9" s="3"/>
      <c r="S9" s="4"/>
    </row>
    <row r="10" customFormat="false" ht="14.25" hidden="false" customHeight="false" outlineLevel="0" collapsed="false">
      <c r="A10" s="1" t="s">
        <v>9</v>
      </c>
      <c r="B10" s="1" t="s">
        <v>13</v>
      </c>
      <c r="C10" s="1" t="n">
        <v>2</v>
      </c>
      <c r="D10" s="7" t="s">
        <v>11</v>
      </c>
      <c r="E10" s="2" t="n">
        <v>5.49</v>
      </c>
      <c r="F10" s="2" t="n">
        <v>4.19</v>
      </c>
      <c r="G10" s="2" t="n">
        <v>4.98</v>
      </c>
      <c r="H10" s="3" t="n">
        <v>0.12</v>
      </c>
      <c r="I10" s="4" t="n">
        <f aca="false">(G16-G10)/G10</f>
        <v>-0.00401606425702821</v>
      </c>
      <c r="N10" s="2"/>
      <c r="O10" s="2"/>
      <c r="P10" s="2"/>
      <c r="Q10" s="2"/>
      <c r="R10" s="3"/>
      <c r="S10" s="4"/>
    </row>
    <row r="11" customFormat="false" ht="14.25" hidden="false" customHeight="false" outlineLevel="0" collapsed="false">
      <c r="A11" s="1" t="s">
        <v>9</v>
      </c>
      <c r="B11" s="1" t="s">
        <v>14</v>
      </c>
      <c r="C11" s="1" t="n">
        <v>2</v>
      </c>
      <c r="D11" s="7" t="s">
        <v>11</v>
      </c>
      <c r="E11" s="2" t="n">
        <v>7.19</v>
      </c>
      <c r="F11" s="2" t="n">
        <v>6.03</v>
      </c>
      <c r="G11" s="2" t="n">
        <v>6.52</v>
      </c>
      <c r="H11" s="3" t="n">
        <v>0.31</v>
      </c>
      <c r="I11" s="4" t="n">
        <f aca="false">(G17-G11)/G11</f>
        <v>-0.0138036809815951</v>
      </c>
      <c r="N11" s="2"/>
      <c r="O11" s="2"/>
      <c r="P11" s="2"/>
      <c r="Q11" s="2"/>
      <c r="R11" s="3"/>
      <c r="S11" s="4"/>
    </row>
    <row r="12" customFormat="false" ht="14.25" hidden="false" customHeight="false" outlineLevel="0" collapsed="false">
      <c r="A12" s="1" t="s">
        <v>9</v>
      </c>
      <c r="B12" s="1" t="s">
        <v>15</v>
      </c>
      <c r="C12" s="1" t="n">
        <v>2</v>
      </c>
      <c r="D12" s="7" t="s">
        <v>11</v>
      </c>
      <c r="E12" s="2" t="n">
        <v>7.48</v>
      </c>
      <c r="F12" s="2" t="n">
        <v>6.29</v>
      </c>
      <c r="G12" s="2" t="n">
        <v>6.68</v>
      </c>
      <c r="H12" s="3" t="n">
        <v>0.29</v>
      </c>
      <c r="I12" s="4" t="n">
        <f aca="false">(G18-G12)/G12</f>
        <v>-0.0149700598802395</v>
      </c>
      <c r="N12" s="2"/>
      <c r="O12" s="2"/>
      <c r="P12" s="2"/>
      <c r="Q12" s="2"/>
      <c r="R12" s="3"/>
      <c r="S12" s="4"/>
    </row>
    <row r="13" customFormat="false" ht="14.25" hidden="false" customHeight="false" outlineLevel="0" collapsed="false">
      <c r="A13" s="1" t="s">
        <v>9</v>
      </c>
      <c r="B13" s="1" t="s">
        <v>16</v>
      </c>
      <c r="C13" s="1" t="n">
        <v>2</v>
      </c>
      <c r="D13" s="7" t="s">
        <v>17</v>
      </c>
      <c r="E13" s="2" t="n">
        <v>4.99</v>
      </c>
      <c r="F13" s="2" t="n">
        <v>4.79</v>
      </c>
      <c r="G13" s="2" t="n">
        <v>4.9</v>
      </c>
      <c r="H13" s="3" t="n">
        <v>0.05</v>
      </c>
      <c r="I13" s="4" t="n">
        <f aca="false">(G19-G13)/G13</f>
        <v>0.00204081632653057</v>
      </c>
      <c r="N13" s="2"/>
      <c r="O13" s="2"/>
      <c r="P13" s="2"/>
      <c r="Q13" s="2"/>
      <c r="R13" s="3"/>
      <c r="S13" s="4"/>
    </row>
    <row r="14" customFormat="false" ht="14.25" hidden="false" customHeight="false" outlineLevel="0" collapsed="false">
      <c r="A14" s="1" t="s">
        <v>9</v>
      </c>
      <c r="B14" s="1" t="s">
        <v>10</v>
      </c>
      <c r="C14" s="1" t="n">
        <v>3</v>
      </c>
      <c r="D14" s="7" t="s">
        <v>11</v>
      </c>
      <c r="E14" s="2" t="n">
        <v>7.08</v>
      </c>
      <c r="F14" s="2" t="n">
        <v>6.14</v>
      </c>
      <c r="G14" s="2" t="n">
        <v>6.73</v>
      </c>
      <c r="H14" s="3" t="n">
        <v>0.28</v>
      </c>
      <c r="I14" s="4" t="n">
        <f aca="false">(G20-G14)/G14</f>
        <v>-0.0074294205052007</v>
      </c>
      <c r="N14" s="2"/>
      <c r="O14" s="2"/>
      <c r="P14" s="2"/>
      <c r="Q14" s="2"/>
      <c r="R14" s="3"/>
      <c r="S14" s="4"/>
    </row>
    <row r="15" customFormat="false" ht="14.25" hidden="false" customHeight="false" outlineLevel="0" collapsed="false">
      <c r="A15" s="1" t="s">
        <v>9</v>
      </c>
      <c r="B15" s="1" t="s">
        <v>12</v>
      </c>
      <c r="C15" s="1" t="n">
        <v>3</v>
      </c>
      <c r="D15" s="7" t="s">
        <v>11</v>
      </c>
      <c r="E15" s="2" t="n">
        <v>7.19</v>
      </c>
      <c r="F15" s="2" t="n">
        <v>5.86</v>
      </c>
      <c r="G15" s="2" t="n">
        <v>6.55</v>
      </c>
      <c r="H15" s="3" t="n">
        <v>0.36</v>
      </c>
      <c r="I15" s="4" t="n">
        <f aca="false">(G21-G15)/G15</f>
        <v>-0.0106870229007633</v>
      </c>
      <c r="N15" s="2"/>
      <c r="O15" s="2"/>
      <c r="P15" s="2"/>
      <c r="Q15" s="2"/>
      <c r="R15" s="3"/>
      <c r="S15" s="4"/>
    </row>
    <row r="16" customFormat="false" ht="14.25" hidden="false" customHeight="false" outlineLevel="0" collapsed="false">
      <c r="A16" s="1" t="s">
        <v>9</v>
      </c>
      <c r="B16" s="1" t="s">
        <v>13</v>
      </c>
      <c r="C16" s="1" t="n">
        <v>3</v>
      </c>
      <c r="D16" s="7" t="s">
        <v>11</v>
      </c>
      <c r="E16" s="2" t="n">
        <v>5.49</v>
      </c>
      <c r="F16" s="2" t="n">
        <v>4.69</v>
      </c>
      <c r="G16" s="2" t="n">
        <v>4.96</v>
      </c>
      <c r="H16" s="3" t="n">
        <v>0.13</v>
      </c>
      <c r="I16" s="4" t="n">
        <f aca="false">(G22-G16)/G16</f>
        <v>0.00604838709677424</v>
      </c>
      <c r="N16" s="2"/>
      <c r="O16" s="2"/>
      <c r="P16" s="2"/>
      <c r="Q16" s="2"/>
      <c r="R16" s="3"/>
      <c r="S16" s="4"/>
    </row>
    <row r="17" customFormat="false" ht="14.25" hidden="false" customHeight="false" outlineLevel="0" collapsed="false">
      <c r="A17" s="1" t="s">
        <v>9</v>
      </c>
      <c r="B17" s="1" t="s">
        <v>14</v>
      </c>
      <c r="C17" s="1" t="n">
        <v>3</v>
      </c>
      <c r="D17" s="7" t="s">
        <v>11</v>
      </c>
      <c r="E17" s="2" t="n">
        <v>7.19</v>
      </c>
      <c r="F17" s="2" t="n">
        <v>6.06</v>
      </c>
      <c r="G17" s="2" t="n">
        <v>6.43</v>
      </c>
      <c r="H17" s="3" t="n">
        <v>0.36</v>
      </c>
      <c r="I17" s="4" t="n">
        <f aca="false">(G23-G17)/G17</f>
        <v>-0.00155520995334367</v>
      </c>
      <c r="N17" s="2"/>
      <c r="O17" s="2"/>
      <c r="P17" s="2"/>
      <c r="Q17" s="2"/>
      <c r="R17" s="3"/>
      <c r="S17" s="4"/>
    </row>
    <row r="18" customFormat="false" ht="14.25" hidden="false" customHeight="false" outlineLevel="0" collapsed="false">
      <c r="A18" s="1" t="s">
        <v>9</v>
      </c>
      <c r="B18" s="1" t="s">
        <v>15</v>
      </c>
      <c r="C18" s="1" t="n">
        <v>3</v>
      </c>
      <c r="D18" s="7" t="s">
        <v>11</v>
      </c>
      <c r="E18" s="2" t="n">
        <v>7.48</v>
      </c>
      <c r="F18" s="2" t="n">
        <v>6.09</v>
      </c>
      <c r="G18" s="2" t="n">
        <v>6.58</v>
      </c>
      <c r="H18" s="3" t="n">
        <v>0.34</v>
      </c>
      <c r="I18" s="4" t="n">
        <f aca="false">(G24-G18)/G18</f>
        <v>0.00759878419452885</v>
      </c>
      <c r="N18" s="2"/>
      <c r="O18" s="2"/>
      <c r="P18" s="2"/>
      <c r="Q18" s="2"/>
      <c r="R18" s="3"/>
      <c r="S18" s="4"/>
    </row>
    <row r="19" customFormat="false" ht="14.25" hidden="false" customHeight="false" outlineLevel="0" collapsed="false">
      <c r="A19" s="1" t="s">
        <v>9</v>
      </c>
      <c r="B19" s="1" t="s">
        <v>16</v>
      </c>
      <c r="C19" s="1" t="n">
        <v>3</v>
      </c>
      <c r="D19" s="7" t="s">
        <v>17</v>
      </c>
      <c r="E19" s="2" t="n">
        <v>5.19</v>
      </c>
      <c r="F19" s="2" t="n">
        <v>4.79</v>
      </c>
      <c r="G19" s="2" t="n">
        <v>4.91</v>
      </c>
      <c r="H19" s="3" t="n">
        <v>0.09</v>
      </c>
      <c r="I19" s="4" t="n">
        <f aca="false">(G25-G19)/G19</f>
        <v>-0.00610997963340127</v>
      </c>
      <c r="N19" s="2"/>
      <c r="O19" s="2"/>
      <c r="P19" s="2"/>
      <c r="Q19" s="2"/>
      <c r="R19" s="3"/>
      <c r="S19" s="4"/>
    </row>
    <row r="20" customFormat="false" ht="14.25" hidden="false" customHeight="false" outlineLevel="0" collapsed="false">
      <c r="A20" s="1" t="s">
        <v>9</v>
      </c>
      <c r="B20" s="1" t="s">
        <v>10</v>
      </c>
      <c r="C20" s="1" t="n">
        <v>4</v>
      </c>
      <c r="D20" s="7" t="s">
        <v>11</v>
      </c>
      <c r="E20" s="2" t="n">
        <v>7.14</v>
      </c>
      <c r="F20" s="2" t="n">
        <v>5.99</v>
      </c>
      <c r="G20" s="2" t="n">
        <v>6.68</v>
      </c>
      <c r="H20" s="3" t="n">
        <v>0.37</v>
      </c>
      <c r="I20" s="4" t="n">
        <f aca="false">(G26-G20)/G20</f>
        <v>-0.0164670658682634</v>
      </c>
      <c r="N20" s="2"/>
      <c r="O20" s="2"/>
      <c r="P20" s="2"/>
      <c r="Q20" s="2"/>
      <c r="R20" s="3"/>
      <c r="S20" s="4"/>
    </row>
    <row r="21" customFormat="false" ht="14.25" hidden="false" customHeight="false" outlineLevel="0" collapsed="false">
      <c r="A21" s="1" t="s">
        <v>9</v>
      </c>
      <c r="B21" s="1" t="s">
        <v>12</v>
      </c>
      <c r="C21" s="1" t="n">
        <v>4</v>
      </c>
      <c r="D21" s="7" t="s">
        <v>11</v>
      </c>
      <c r="E21" s="2" t="n">
        <v>7.08</v>
      </c>
      <c r="F21" s="2" t="n">
        <v>5.59</v>
      </c>
      <c r="G21" s="2" t="n">
        <v>6.48</v>
      </c>
      <c r="H21" s="3" t="n">
        <v>0.42</v>
      </c>
      <c r="I21" s="4" t="n">
        <f aca="false">(G27-G21)/G21</f>
        <v>-0.0277777777777779</v>
      </c>
      <c r="N21" s="2"/>
      <c r="O21" s="2"/>
      <c r="P21" s="2"/>
      <c r="Q21" s="2"/>
      <c r="R21" s="3"/>
      <c r="S21" s="4"/>
    </row>
    <row r="22" customFormat="false" ht="14.25" hidden="false" customHeight="false" outlineLevel="0" collapsed="false">
      <c r="A22" s="1" t="s">
        <v>9</v>
      </c>
      <c r="B22" s="1" t="s">
        <v>13</v>
      </c>
      <c r="C22" s="1" t="n">
        <v>4</v>
      </c>
      <c r="D22" s="7" t="s">
        <v>11</v>
      </c>
      <c r="E22" s="2" t="n">
        <v>5.49</v>
      </c>
      <c r="F22" s="2" t="n">
        <v>4.39</v>
      </c>
      <c r="G22" s="2" t="n">
        <v>4.99</v>
      </c>
      <c r="H22" s="3" t="n">
        <v>0.15</v>
      </c>
      <c r="I22" s="4" t="n">
        <f aca="false">(G28-G22)/G22</f>
        <v>0.0100200400801603</v>
      </c>
      <c r="N22" s="2"/>
      <c r="O22" s="2"/>
      <c r="P22" s="2"/>
      <c r="Q22" s="2"/>
      <c r="R22" s="3"/>
      <c r="S22" s="4"/>
    </row>
    <row r="23" customFormat="false" ht="14.25" hidden="false" customHeight="false" outlineLevel="0" collapsed="false">
      <c r="A23" s="1" t="s">
        <v>9</v>
      </c>
      <c r="B23" s="1" t="s">
        <v>14</v>
      </c>
      <c r="C23" s="1" t="n">
        <v>4</v>
      </c>
      <c r="D23" s="7" t="s">
        <v>11</v>
      </c>
      <c r="E23" s="2" t="n">
        <v>7.19</v>
      </c>
      <c r="F23" s="2" t="n">
        <v>5.19</v>
      </c>
      <c r="G23" s="2" t="n">
        <v>6.42</v>
      </c>
      <c r="H23" s="3" t="n">
        <v>0.39</v>
      </c>
      <c r="I23" s="4" t="n">
        <f aca="false">(G29-G23)/G23</f>
        <v>-0.00467289719626172</v>
      </c>
      <c r="N23" s="2"/>
      <c r="O23" s="2"/>
      <c r="P23" s="2"/>
      <c r="Q23" s="2"/>
      <c r="R23" s="3"/>
      <c r="S23" s="4"/>
    </row>
    <row r="24" customFormat="false" ht="14.25" hidden="false" customHeight="false" outlineLevel="0" collapsed="false">
      <c r="A24" s="1" t="s">
        <v>9</v>
      </c>
      <c r="B24" s="1" t="s">
        <v>15</v>
      </c>
      <c r="C24" s="1" t="n">
        <v>4</v>
      </c>
      <c r="D24" s="7" t="s">
        <v>11</v>
      </c>
      <c r="E24" s="2" t="n">
        <v>7.48</v>
      </c>
      <c r="F24" s="2" t="n">
        <v>5.88</v>
      </c>
      <c r="G24" s="2" t="n">
        <v>6.63</v>
      </c>
      <c r="H24" s="3" t="n">
        <v>0.34</v>
      </c>
      <c r="I24" s="4" t="n">
        <f aca="false">(G30-G24)/G24</f>
        <v>-0.0075414781297134</v>
      </c>
      <c r="N24" s="2"/>
      <c r="O24" s="2"/>
      <c r="P24" s="2"/>
      <c r="Q24" s="2"/>
      <c r="R24" s="3"/>
      <c r="S24" s="4"/>
    </row>
    <row r="25" customFormat="false" ht="14.25" hidden="false" customHeight="false" outlineLevel="0" collapsed="false">
      <c r="A25" s="1" t="s">
        <v>9</v>
      </c>
      <c r="B25" s="1" t="s">
        <v>16</v>
      </c>
      <c r="C25" s="1" t="n">
        <v>4</v>
      </c>
      <c r="D25" s="7" t="s">
        <v>17</v>
      </c>
      <c r="E25" s="2" t="n">
        <v>5.19</v>
      </c>
      <c r="F25" s="2" t="n">
        <v>4.79</v>
      </c>
      <c r="G25" s="2" t="n">
        <v>4.88</v>
      </c>
      <c r="H25" s="3" t="n">
        <v>0.12</v>
      </c>
      <c r="I25" s="4" t="n">
        <f aca="false">(G31-G25)/G25</f>
        <v>-0.00409836065573762</v>
      </c>
      <c r="N25" s="2"/>
      <c r="O25" s="2"/>
      <c r="P25" s="2"/>
      <c r="Q25" s="2"/>
      <c r="R25" s="3"/>
      <c r="S25" s="4"/>
    </row>
    <row r="26" customFormat="false" ht="14.25" hidden="false" customHeight="false" outlineLevel="0" collapsed="false">
      <c r="A26" s="1" t="s">
        <v>9</v>
      </c>
      <c r="B26" s="1" t="s">
        <v>10</v>
      </c>
      <c r="C26" s="1" t="n">
        <v>5</v>
      </c>
      <c r="D26" s="7" t="s">
        <v>11</v>
      </c>
      <c r="E26" s="2" t="n">
        <v>7.08</v>
      </c>
      <c r="F26" s="2" t="n">
        <v>5.74</v>
      </c>
      <c r="G26" s="2" t="n">
        <v>6.57</v>
      </c>
      <c r="H26" s="3" t="n">
        <v>0.44</v>
      </c>
      <c r="I26" s="4" t="n">
        <f aca="false">(G32-G26)/G26</f>
        <v>-0.0350076103500762</v>
      </c>
      <c r="N26" s="2"/>
      <c r="O26" s="2"/>
      <c r="P26" s="2"/>
      <c r="Q26" s="2"/>
      <c r="R26" s="3"/>
      <c r="S26" s="4"/>
    </row>
    <row r="27" customFormat="false" ht="14.25" hidden="false" customHeight="false" outlineLevel="0" collapsed="false">
      <c r="A27" s="1" t="s">
        <v>9</v>
      </c>
      <c r="B27" s="1" t="s">
        <v>12</v>
      </c>
      <c r="C27" s="1" t="n">
        <v>5</v>
      </c>
      <c r="D27" s="7" t="s">
        <v>11</v>
      </c>
      <c r="E27" s="2" t="n">
        <v>7.08</v>
      </c>
      <c r="F27" s="2" t="n">
        <v>5.29</v>
      </c>
      <c r="G27" s="2" t="n">
        <v>6.3</v>
      </c>
      <c r="H27" s="3" t="n">
        <v>0.5</v>
      </c>
      <c r="I27" s="4" t="n">
        <f aca="false">(G33-G27)/G27</f>
        <v>-0.0158730158730158</v>
      </c>
      <c r="N27" s="2"/>
      <c r="O27" s="2"/>
      <c r="P27" s="2"/>
      <c r="Q27" s="2"/>
      <c r="R27" s="3"/>
      <c r="S27" s="4"/>
    </row>
    <row r="28" customFormat="false" ht="14.25" hidden="false" customHeight="false" outlineLevel="0" collapsed="false">
      <c r="A28" s="1" t="s">
        <v>9</v>
      </c>
      <c r="B28" s="1" t="s">
        <v>13</v>
      </c>
      <c r="C28" s="1" t="n">
        <v>5</v>
      </c>
      <c r="D28" s="7" t="s">
        <v>11</v>
      </c>
      <c r="E28" s="2" t="n">
        <v>5.39</v>
      </c>
      <c r="F28" s="2" t="n">
        <v>4.45</v>
      </c>
      <c r="G28" s="2" t="n">
        <v>5.04</v>
      </c>
      <c r="H28" s="3" t="n">
        <v>0.16</v>
      </c>
      <c r="I28" s="4" t="n">
        <f aca="false">(G34-G28)/G28</f>
        <v>-0.00198412698412694</v>
      </c>
      <c r="N28" s="2"/>
      <c r="O28" s="2"/>
      <c r="P28" s="2"/>
      <c r="Q28" s="2"/>
      <c r="R28" s="3"/>
      <c r="S28" s="4"/>
    </row>
    <row r="29" customFormat="false" ht="14.25" hidden="false" customHeight="false" outlineLevel="0" collapsed="false">
      <c r="A29" s="1" t="s">
        <v>9</v>
      </c>
      <c r="B29" s="1" t="s">
        <v>14</v>
      </c>
      <c r="C29" s="1" t="n">
        <v>5</v>
      </c>
      <c r="D29" s="7" t="s">
        <v>11</v>
      </c>
      <c r="E29" s="2" t="n">
        <v>7.19</v>
      </c>
      <c r="F29" s="2" t="n">
        <v>5.67</v>
      </c>
      <c r="G29" s="2" t="n">
        <v>6.39</v>
      </c>
      <c r="H29" s="3" t="n">
        <v>0.42</v>
      </c>
      <c r="I29" s="4" t="n">
        <f aca="false">(G35-G29)/G29</f>
        <v>-0.0109546165884193</v>
      </c>
      <c r="N29" s="2"/>
      <c r="O29" s="2"/>
      <c r="P29" s="2"/>
      <c r="Q29" s="2"/>
      <c r="R29" s="3"/>
      <c r="S29" s="4"/>
    </row>
    <row r="30" customFormat="false" ht="14.25" hidden="false" customHeight="false" outlineLevel="0" collapsed="false">
      <c r="A30" s="1" t="s">
        <v>9</v>
      </c>
      <c r="B30" s="1" t="s">
        <v>15</v>
      </c>
      <c r="C30" s="1" t="n">
        <v>5</v>
      </c>
      <c r="D30" s="7" t="s">
        <v>11</v>
      </c>
      <c r="E30" s="2" t="n">
        <v>7.48</v>
      </c>
      <c r="F30" s="2" t="n">
        <v>5.87</v>
      </c>
      <c r="G30" s="2" t="n">
        <v>6.58</v>
      </c>
      <c r="H30" s="3" t="n">
        <v>0.37</v>
      </c>
      <c r="I30" s="4" t="n">
        <f aca="false">(G36-G30)/G30</f>
        <v>-0.0106382978723405</v>
      </c>
      <c r="N30" s="2"/>
      <c r="O30" s="2"/>
      <c r="P30" s="2"/>
      <c r="Q30" s="2"/>
      <c r="R30" s="3"/>
      <c r="S30" s="4"/>
    </row>
    <row r="31" customFormat="false" ht="14.25" hidden="false" customHeight="false" outlineLevel="0" collapsed="false">
      <c r="A31" s="1" t="s">
        <v>9</v>
      </c>
      <c r="B31" s="1" t="s">
        <v>16</v>
      </c>
      <c r="C31" s="1" t="n">
        <v>5</v>
      </c>
      <c r="D31" s="7" t="s">
        <v>17</v>
      </c>
      <c r="E31" s="2" t="n">
        <v>5.19</v>
      </c>
      <c r="F31" s="2" t="n">
        <v>4.79</v>
      </c>
      <c r="G31" s="2" t="n">
        <v>4.86</v>
      </c>
      <c r="H31" s="3" t="n">
        <v>0.11</v>
      </c>
      <c r="I31" s="4" t="n">
        <f aca="false">(G37-G31)/G31</f>
        <v>-0.00823045267489713</v>
      </c>
      <c r="N31" s="2"/>
      <c r="O31" s="2"/>
      <c r="P31" s="2"/>
      <c r="Q31" s="2"/>
      <c r="R31" s="3"/>
      <c r="S31" s="4"/>
    </row>
    <row r="32" customFormat="false" ht="14.25" hidden="false" customHeight="false" outlineLevel="0" collapsed="false">
      <c r="A32" s="1" t="s">
        <v>9</v>
      </c>
      <c r="B32" s="1" t="s">
        <v>10</v>
      </c>
      <c r="C32" s="1" t="n">
        <v>6</v>
      </c>
      <c r="D32" s="7" t="s">
        <v>11</v>
      </c>
      <c r="E32" s="2" t="n">
        <v>7.08</v>
      </c>
      <c r="F32" s="2" t="n">
        <v>5.59</v>
      </c>
      <c r="G32" s="2" t="n">
        <v>6.34</v>
      </c>
      <c r="H32" s="3" t="n">
        <v>0.48</v>
      </c>
      <c r="I32" s="3"/>
      <c r="K32" s="3"/>
      <c r="N32" s="2"/>
      <c r="O32" s="2"/>
      <c r="P32" s="2"/>
      <c r="Q32" s="2"/>
      <c r="R32" s="3"/>
      <c r="S32" s="4"/>
    </row>
    <row r="33" customFormat="false" ht="14.25" hidden="false" customHeight="false" outlineLevel="0" collapsed="false">
      <c r="A33" s="1" t="s">
        <v>9</v>
      </c>
      <c r="B33" s="1" t="s">
        <v>12</v>
      </c>
      <c r="C33" s="1" t="n">
        <v>6</v>
      </c>
      <c r="D33" s="7" t="s">
        <v>11</v>
      </c>
      <c r="E33" s="2" t="n">
        <v>7.08</v>
      </c>
      <c r="F33" s="2" t="n">
        <v>5.29</v>
      </c>
      <c r="G33" s="2" t="n">
        <v>6.2</v>
      </c>
      <c r="H33" s="3" t="n">
        <v>0.5</v>
      </c>
      <c r="I33" s="3"/>
      <c r="K33" s="3"/>
      <c r="N33" s="2"/>
      <c r="O33" s="2"/>
      <c r="P33" s="2"/>
      <c r="Q33" s="2"/>
      <c r="R33" s="3"/>
      <c r="S33" s="4"/>
    </row>
    <row r="34" customFormat="false" ht="14.25" hidden="false" customHeight="false" outlineLevel="0" collapsed="false">
      <c r="A34" s="1" t="s">
        <v>9</v>
      </c>
      <c r="B34" s="1" t="s">
        <v>13</v>
      </c>
      <c r="C34" s="1" t="n">
        <v>6</v>
      </c>
      <c r="D34" s="7" t="s">
        <v>11</v>
      </c>
      <c r="E34" s="2" t="n">
        <v>5.31</v>
      </c>
      <c r="F34" s="2" t="n">
        <v>4.62</v>
      </c>
      <c r="G34" s="2" t="n">
        <v>5.03</v>
      </c>
      <c r="H34" s="3" t="n">
        <v>0.14</v>
      </c>
      <c r="I34" s="3"/>
      <c r="K34" s="3"/>
      <c r="N34" s="2"/>
      <c r="O34" s="2"/>
      <c r="P34" s="2"/>
      <c r="Q34" s="2"/>
      <c r="R34" s="3"/>
      <c r="S34" s="4"/>
    </row>
    <row r="35" customFormat="false" ht="14.25" hidden="false" customHeight="false" outlineLevel="0" collapsed="false">
      <c r="A35" s="1" t="s">
        <v>9</v>
      </c>
      <c r="B35" s="1" t="s">
        <v>14</v>
      </c>
      <c r="C35" s="1" t="n">
        <v>6</v>
      </c>
      <c r="D35" s="7" t="s">
        <v>11</v>
      </c>
      <c r="E35" s="2" t="n">
        <v>7.19</v>
      </c>
      <c r="F35" s="2" t="n">
        <v>5.69</v>
      </c>
      <c r="G35" s="2" t="n">
        <v>6.32</v>
      </c>
      <c r="H35" s="3" t="n">
        <v>0.34</v>
      </c>
      <c r="I35" s="3"/>
      <c r="K35" s="3"/>
      <c r="N35" s="2"/>
      <c r="O35" s="2"/>
      <c r="P35" s="2"/>
      <c r="Q35" s="2"/>
      <c r="R35" s="3"/>
      <c r="S35" s="4"/>
    </row>
    <row r="36" customFormat="false" ht="14.25" hidden="false" customHeight="false" outlineLevel="0" collapsed="false">
      <c r="A36" s="1" t="s">
        <v>9</v>
      </c>
      <c r="B36" s="1" t="s">
        <v>15</v>
      </c>
      <c r="C36" s="1" t="n">
        <v>6</v>
      </c>
      <c r="D36" s="7" t="s">
        <v>11</v>
      </c>
      <c r="E36" s="2" t="n">
        <v>7.48</v>
      </c>
      <c r="F36" s="2" t="n">
        <v>5.88</v>
      </c>
      <c r="G36" s="2" t="n">
        <v>6.51</v>
      </c>
      <c r="H36" s="3" t="n">
        <v>0.31</v>
      </c>
      <c r="I36" s="3"/>
      <c r="K36" s="3"/>
      <c r="N36" s="2"/>
      <c r="O36" s="2"/>
      <c r="P36" s="2"/>
      <c r="Q36" s="2"/>
      <c r="R36" s="3"/>
      <c r="S36" s="4"/>
    </row>
    <row r="37" customFormat="false" ht="14.25" hidden="false" customHeight="false" outlineLevel="0" collapsed="false">
      <c r="A37" s="1" t="s">
        <v>9</v>
      </c>
      <c r="B37" s="1" t="s">
        <v>16</v>
      </c>
      <c r="C37" s="1" t="n">
        <v>6</v>
      </c>
      <c r="D37" s="7" t="s">
        <v>17</v>
      </c>
      <c r="E37" s="2" t="n">
        <v>5.09</v>
      </c>
      <c r="F37" s="2" t="n">
        <v>4.79</v>
      </c>
      <c r="G37" s="2" t="n">
        <v>4.82</v>
      </c>
      <c r="H37" s="3" t="n">
        <v>0.07</v>
      </c>
      <c r="I37" s="3"/>
      <c r="K37" s="3"/>
      <c r="N37" s="2"/>
      <c r="O37" s="2"/>
      <c r="P37" s="2"/>
      <c r="Q37" s="2"/>
      <c r="R37" s="3"/>
      <c r="S37" s="4"/>
    </row>
    <row r="38" customFormat="false" ht="14.25" hidden="false" customHeight="false" outlineLevel="0" collapsed="false">
      <c r="A38" s="1" t="s">
        <v>18</v>
      </c>
      <c r="B38" s="1" t="s">
        <v>10</v>
      </c>
      <c r="C38" s="1" t="n">
        <v>1</v>
      </c>
      <c r="D38" s="7" t="s">
        <v>11</v>
      </c>
      <c r="E38" s="2" t="n">
        <v>6.9</v>
      </c>
      <c r="F38" s="2" t="n">
        <v>5.81</v>
      </c>
      <c r="G38" s="2" t="n">
        <v>6.32</v>
      </c>
      <c r="H38" s="3" t="n">
        <v>0.25</v>
      </c>
      <c r="I38" s="4" t="n">
        <f aca="false">(G44-G38)/G38</f>
        <v>0.0126582278481013</v>
      </c>
      <c r="N38" s="2"/>
      <c r="O38" s="2"/>
      <c r="P38" s="2"/>
      <c r="Q38" s="2"/>
      <c r="S38" s="4"/>
    </row>
    <row r="39" customFormat="false" ht="14.25" hidden="false" customHeight="false" outlineLevel="0" collapsed="false">
      <c r="A39" s="1" t="s">
        <v>18</v>
      </c>
      <c r="B39" s="1" t="s">
        <v>12</v>
      </c>
      <c r="C39" s="1" t="n">
        <v>1</v>
      </c>
      <c r="D39" s="7" t="s">
        <v>11</v>
      </c>
      <c r="E39" s="2" t="n">
        <v>6.99</v>
      </c>
      <c r="F39" s="2" t="n">
        <v>5.49</v>
      </c>
      <c r="G39" s="2" t="n">
        <v>6.42</v>
      </c>
      <c r="H39" s="3" t="n">
        <v>0.24</v>
      </c>
      <c r="I39" s="4" t="n">
        <f aca="false">(G45-G39)/G39</f>
        <v>0.014018691588785</v>
      </c>
      <c r="N39" s="2"/>
      <c r="O39" s="2"/>
      <c r="P39" s="2"/>
      <c r="Q39" s="2"/>
      <c r="S39" s="4"/>
    </row>
    <row r="40" customFormat="false" ht="14.25" hidden="false" customHeight="false" outlineLevel="0" collapsed="false">
      <c r="A40" s="1" t="s">
        <v>18</v>
      </c>
      <c r="B40" s="1" t="s">
        <v>13</v>
      </c>
      <c r="C40" s="1" t="n">
        <v>1</v>
      </c>
      <c r="D40" s="7" t="s">
        <v>11</v>
      </c>
      <c r="E40" s="2" t="n">
        <v>5.98</v>
      </c>
      <c r="F40" s="2" t="n">
        <v>4.13</v>
      </c>
      <c r="G40" s="2" t="n">
        <v>4.68</v>
      </c>
      <c r="H40" s="3" t="n">
        <v>0.24</v>
      </c>
      <c r="I40" s="4" t="n">
        <f aca="false">(G46-G40)/G40</f>
        <v>0.0427350427350428</v>
      </c>
      <c r="N40" s="2"/>
      <c r="O40" s="2"/>
      <c r="P40" s="2"/>
      <c r="Q40" s="2"/>
      <c r="S40" s="4"/>
    </row>
    <row r="41" customFormat="false" ht="14.25" hidden="false" customHeight="false" outlineLevel="0" collapsed="false">
      <c r="A41" s="1" t="s">
        <v>18</v>
      </c>
      <c r="B41" s="1" t="s">
        <v>14</v>
      </c>
      <c r="C41" s="1" t="n">
        <v>1</v>
      </c>
      <c r="D41" s="7" t="s">
        <v>11</v>
      </c>
      <c r="E41" s="2" t="n">
        <v>6.97</v>
      </c>
      <c r="F41" s="2" t="n">
        <v>5.74</v>
      </c>
      <c r="G41" s="2" t="n">
        <v>6.42</v>
      </c>
      <c r="H41" s="3" t="n">
        <v>0.25</v>
      </c>
      <c r="I41" s="4" t="n">
        <f aca="false">(G47-G41)/G41</f>
        <v>0.0233644859813085</v>
      </c>
      <c r="N41" s="2"/>
      <c r="O41" s="2"/>
      <c r="P41" s="2"/>
      <c r="Q41" s="2"/>
      <c r="S41" s="4"/>
    </row>
    <row r="42" customFormat="false" ht="14.25" hidden="false" customHeight="false" outlineLevel="0" collapsed="false">
      <c r="A42" s="1" t="s">
        <v>18</v>
      </c>
      <c r="B42" s="1" t="s">
        <v>15</v>
      </c>
      <c r="C42" s="1" t="n">
        <v>1</v>
      </c>
      <c r="D42" s="7" t="s">
        <v>11</v>
      </c>
      <c r="E42" s="2" t="n">
        <v>7.37</v>
      </c>
      <c r="F42" s="2" t="n">
        <v>5.79</v>
      </c>
      <c r="G42" s="2" t="n">
        <v>6.53</v>
      </c>
      <c r="H42" s="3" t="n">
        <v>0.27</v>
      </c>
      <c r="I42" s="4" t="n">
        <f aca="false">(G48-G42)/G42</f>
        <v>0.0229709035222051</v>
      </c>
      <c r="N42" s="2"/>
      <c r="O42" s="2"/>
      <c r="P42" s="2"/>
      <c r="Q42" s="2"/>
      <c r="S42" s="4"/>
    </row>
    <row r="43" customFormat="false" ht="14.25" hidden="false" customHeight="false" outlineLevel="0" collapsed="false">
      <c r="A43" s="1" t="s">
        <v>18</v>
      </c>
      <c r="B43" s="1" t="s">
        <v>16</v>
      </c>
      <c r="C43" s="1" t="n">
        <v>1</v>
      </c>
      <c r="D43" s="7" t="s">
        <v>17</v>
      </c>
      <c r="E43" s="2" t="n">
        <v>4.65</v>
      </c>
      <c r="F43" s="2" t="n">
        <v>3.89</v>
      </c>
      <c r="G43" s="2" t="n">
        <v>4.19</v>
      </c>
      <c r="H43" s="3" t="n">
        <v>0.24</v>
      </c>
      <c r="I43" s="4" t="n">
        <f aca="false">(G49-G43)/G43</f>
        <v>0.0334128878281622</v>
      </c>
      <c r="N43" s="2"/>
      <c r="O43" s="2"/>
      <c r="P43" s="2"/>
      <c r="Q43" s="2"/>
      <c r="S43" s="4"/>
    </row>
    <row r="44" customFormat="false" ht="14.25" hidden="false" customHeight="false" outlineLevel="0" collapsed="false">
      <c r="A44" s="1" t="s">
        <v>18</v>
      </c>
      <c r="B44" s="1" t="s">
        <v>10</v>
      </c>
      <c r="C44" s="1" t="n">
        <v>2</v>
      </c>
      <c r="D44" s="7" t="s">
        <v>11</v>
      </c>
      <c r="E44" s="2" t="n">
        <v>7.2</v>
      </c>
      <c r="F44" s="2" t="n">
        <v>5.8</v>
      </c>
      <c r="G44" s="2" t="n">
        <v>6.4</v>
      </c>
      <c r="H44" s="3" t="n">
        <v>0.3</v>
      </c>
      <c r="I44" s="4" t="n">
        <f aca="false">(G50-G44)/G44</f>
        <v>-0.0109375</v>
      </c>
      <c r="N44" s="2"/>
      <c r="O44" s="2"/>
      <c r="P44" s="2"/>
      <c r="Q44" s="2"/>
      <c r="S44" s="4"/>
    </row>
    <row r="45" customFormat="false" ht="14.25" hidden="false" customHeight="false" outlineLevel="0" collapsed="false">
      <c r="A45" s="1" t="s">
        <v>18</v>
      </c>
      <c r="B45" s="1" t="s">
        <v>12</v>
      </c>
      <c r="C45" s="1" t="n">
        <v>2</v>
      </c>
      <c r="D45" s="7" t="s">
        <v>11</v>
      </c>
      <c r="E45" s="2" t="n">
        <v>7.2</v>
      </c>
      <c r="F45" s="2" t="n">
        <v>5.9</v>
      </c>
      <c r="G45" s="2" t="n">
        <v>6.51</v>
      </c>
      <c r="H45" s="3" t="n">
        <v>0.28</v>
      </c>
      <c r="I45" s="4" t="n">
        <f aca="false">(G51-G45)/G45</f>
        <v>-0.0107526881720429</v>
      </c>
      <c r="N45" s="2"/>
      <c r="O45" s="2"/>
      <c r="P45" s="2"/>
      <c r="Q45" s="2"/>
      <c r="S45" s="4"/>
    </row>
    <row r="46" customFormat="false" ht="14.25" hidden="false" customHeight="false" outlineLevel="0" collapsed="false">
      <c r="A46" s="1" t="s">
        <v>18</v>
      </c>
      <c r="B46" s="1" t="s">
        <v>13</v>
      </c>
      <c r="C46" s="1" t="n">
        <v>2</v>
      </c>
      <c r="D46" s="7" t="s">
        <v>11</v>
      </c>
      <c r="E46" s="2" t="n">
        <v>5.98</v>
      </c>
      <c r="F46" s="2" t="n">
        <v>4.29</v>
      </c>
      <c r="G46" s="2" t="n">
        <v>4.88</v>
      </c>
      <c r="H46" s="3" t="n">
        <v>0.24</v>
      </c>
      <c r="I46" s="4" t="n">
        <f aca="false">(G52-G46)/G46</f>
        <v>0</v>
      </c>
      <c r="N46" s="2"/>
      <c r="O46" s="2"/>
      <c r="P46" s="2"/>
      <c r="Q46" s="2"/>
      <c r="S46" s="4"/>
    </row>
    <row r="47" customFormat="false" ht="14.25" hidden="false" customHeight="false" outlineLevel="0" collapsed="false">
      <c r="A47" s="1" t="s">
        <v>18</v>
      </c>
      <c r="B47" s="1" t="s">
        <v>14</v>
      </c>
      <c r="C47" s="1" t="n">
        <v>2</v>
      </c>
      <c r="D47" s="7" t="s">
        <v>11</v>
      </c>
      <c r="E47" s="2" t="n">
        <v>7.1</v>
      </c>
      <c r="F47" s="2" t="n">
        <v>5.69</v>
      </c>
      <c r="G47" s="2" t="n">
        <v>6.57</v>
      </c>
      <c r="H47" s="3" t="n">
        <v>0.27</v>
      </c>
      <c r="I47" s="4" t="n">
        <f aca="false">(G53-G47)/G47</f>
        <v>-0.00608828006088281</v>
      </c>
      <c r="N47" s="2"/>
      <c r="O47" s="2"/>
      <c r="P47" s="2"/>
      <c r="Q47" s="2"/>
      <c r="S47" s="4"/>
    </row>
    <row r="48" customFormat="false" ht="14.25" hidden="false" customHeight="false" outlineLevel="0" collapsed="false">
      <c r="A48" s="1" t="s">
        <v>18</v>
      </c>
      <c r="B48" s="1" t="s">
        <v>15</v>
      </c>
      <c r="C48" s="1" t="n">
        <v>2</v>
      </c>
      <c r="D48" s="7" t="s">
        <v>11</v>
      </c>
      <c r="E48" s="2" t="n">
        <v>7.37</v>
      </c>
      <c r="F48" s="2" t="n">
        <v>5.65</v>
      </c>
      <c r="G48" s="2" t="n">
        <v>6.68</v>
      </c>
      <c r="H48" s="3" t="n">
        <v>0.27</v>
      </c>
      <c r="I48" s="4" t="n">
        <f aca="false">(G54-G48)/G48</f>
        <v>-0.00898203592814366</v>
      </c>
      <c r="N48" s="2"/>
      <c r="O48" s="2"/>
      <c r="P48" s="2"/>
      <c r="Q48" s="2"/>
      <c r="S48" s="4"/>
    </row>
    <row r="49" customFormat="false" ht="14.25" hidden="false" customHeight="false" outlineLevel="0" collapsed="false">
      <c r="A49" s="1" t="s">
        <v>18</v>
      </c>
      <c r="B49" s="1" t="s">
        <v>16</v>
      </c>
      <c r="C49" s="1" t="n">
        <v>2</v>
      </c>
      <c r="D49" s="7" t="s">
        <v>17</v>
      </c>
      <c r="E49" s="2" t="n">
        <v>5.59</v>
      </c>
      <c r="F49" s="2" t="n">
        <v>3.89</v>
      </c>
      <c r="G49" s="2" t="n">
        <v>4.33</v>
      </c>
      <c r="H49" s="3" t="n">
        <v>0.38</v>
      </c>
      <c r="I49" s="4" t="n">
        <f aca="false">(G55-G49)/G49</f>
        <v>0.0207852193995381</v>
      </c>
      <c r="N49" s="2"/>
      <c r="O49" s="2"/>
      <c r="P49" s="2"/>
      <c r="Q49" s="2"/>
      <c r="S49" s="4"/>
    </row>
    <row r="50" customFormat="false" ht="14.25" hidden="false" customHeight="false" outlineLevel="0" collapsed="false">
      <c r="A50" s="1" t="s">
        <v>18</v>
      </c>
      <c r="B50" s="1" t="s">
        <v>10</v>
      </c>
      <c r="C50" s="1" t="n">
        <v>3</v>
      </c>
      <c r="D50" s="7" t="s">
        <v>11</v>
      </c>
      <c r="E50" s="2" t="n">
        <v>7.2</v>
      </c>
      <c r="F50" s="2" t="n">
        <v>5.66</v>
      </c>
      <c r="G50" s="2" t="n">
        <v>6.33</v>
      </c>
      <c r="H50" s="3" t="n">
        <v>0.29</v>
      </c>
      <c r="I50" s="4" t="n">
        <f aca="false">(G56-G50)/G50</f>
        <v>-0.0157977883096366</v>
      </c>
      <c r="N50" s="2"/>
      <c r="O50" s="2"/>
      <c r="P50" s="2"/>
      <c r="Q50" s="2"/>
      <c r="S50" s="4"/>
    </row>
    <row r="51" customFormat="false" ht="14.25" hidden="false" customHeight="false" outlineLevel="0" collapsed="false">
      <c r="A51" s="1" t="s">
        <v>18</v>
      </c>
      <c r="B51" s="1" t="s">
        <v>12</v>
      </c>
      <c r="C51" s="1" t="n">
        <v>3</v>
      </c>
      <c r="D51" s="7" t="s">
        <v>11</v>
      </c>
      <c r="E51" s="2" t="n">
        <v>7.2</v>
      </c>
      <c r="F51" s="2" t="n">
        <v>5.76</v>
      </c>
      <c r="G51" s="2" t="n">
        <v>6.44</v>
      </c>
      <c r="H51" s="3" t="n">
        <v>0.28</v>
      </c>
      <c r="I51" s="4" t="n">
        <f aca="false">(G57-G51)/G51</f>
        <v>-0.0186335403726708</v>
      </c>
      <c r="N51" s="2"/>
      <c r="O51" s="2"/>
      <c r="P51" s="2"/>
      <c r="Q51" s="2"/>
      <c r="S51" s="4"/>
    </row>
    <row r="52" customFormat="false" ht="14.25" hidden="false" customHeight="false" outlineLevel="0" collapsed="false">
      <c r="A52" s="1" t="s">
        <v>18</v>
      </c>
      <c r="B52" s="1" t="s">
        <v>13</v>
      </c>
      <c r="C52" s="1" t="n">
        <v>3</v>
      </c>
      <c r="D52" s="7" t="s">
        <v>11</v>
      </c>
      <c r="E52" s="2" t="n">
        <v>5.66</v>
      </c>
      <c r="F52" s="2" t="n">
        <v>4.19</v>
      </c>
      <c r="G52" s="2" t="n">
        <v>4.88</v>
      </c>
      <c r="H52" s="3" t="n">
        <v>0.23</v>
      </c>
      <c r="I52" s="4" t="n">
        <f aca="false">(G58-G52)/G52</f>
        <v>-0.00614754098360661</v>
      </c>
      <c r="N52" s="2"/>
      <c r="O52" s="2"/>
      <c r="P52" s="2"/>
      <c r="Q52" s="2"/>
      <c r="S52" s="4"/>
    </row>
    <row r="53" customFormat="false" ht="14.25" hidden="false" customHeight="false" outlineLevel="0" collapsed="false">
      <c r="A53" s="1" t="s">
        <v>18</v>
      </c>
      <c r="B53" s="1" t="s">
        <v>14</v>
      </c>
      <c r="C53" s="1" t="n">
        <v>3</v>
      </c>
      <c r="D53" s="7" t="s">
        <v>11</v>
      </c>
      <c r="E53" s="2" t="n">
        <v>7.1</v>
      </c>
      <c r="F53" s="2" t="n">
        <v>5.75</v>
      </c>
      <c r="G53" s="2" t="n">
        <v>6.53</v>
      </c>
      <c r="H53" s="3" t="n">
        <v>0.26</v>
      </c>
      <c r="I53" s="4" t="n">
        <f aca="false">(G59-G53)/G53</f>
        <v>-0.0137825421133231</v>
      </c>
      <c r="N53" s="2"/>
      <c r="O53" s="2"/>
      <c r="P53" s="2"/>
      <c r="Q53" s="2"/>
      <c r="S53" s="4"/>
    </row>
    <row r="54" customFormat="false" ht="14.25" hidden="false" customHeight="false" outlineLevel="0" collapsed="false">
      <c r="A54" s="1" t="s">
        <v>18</v>
      </c>
      <c r="B54" s="1" t="s">
        <v>15</v>
      </c>
      <c r="C54" s="1" t="n">
        <v>3</v>
      </c>
      <c r="D54" s="7" t="s">
        <v>11</v>
      </c>
      <c r="E54" s="2" t="n">
        <v>7.37</v>
      </c>
      <c r="F54" s="2" t="n">
        <v>5.75</v>
      </c>
      <c r="G54" s="2" t="n">
        <v>6.62</v>
      </c>
      <c r="H54" s="3" t="n">
        <v>0.27</v>
      </c>
      <c r="I54" s="4" t="n">
        <f aca="false">(G60-G54)/G54</f>
        <v>-0.013595166163142</v>
      </c>
      <c r="N54" s="2"/>
      <c r="O54" s="2"/>
      <c r="P54" s="2"/>
      <c r="Q54" s="2"/>
      <c r="S54" s="4"/>
    </row>
    <row r="55" customFormat="false" ht="14.25" hidden="false" customHeight="false" outlineLevel="0" collapsed="false">
      <c r="A55" s="1" t="s">
        <v>18</v>
      </c>
      <c r="B55" s="1" t="s">
        <v>16</v>
      </c>
      <c r="C55" s="1" t="n">
        <v>3</v>
      </c>
      <c r="D55" s="7" t="s">
        <v>17</v>
      </c>
      <c r="E55" s="2" t="n">
        <v>5.59</v>
      </c>
      <c r="F55" s="2" t="n">
        <v>3.99</v>
      </c>
      <c r="G55" s="2" t="n">
        <v>4.42</v>
      </c>
      <c r="H55" s="3" t="n">
        <v>0.37</v>
      </c>
      <c r="I55" s="4" t="n">
        <f aca="false">(G61-G55)/G55</f>
        <v>-0.00678733031674214</v>
      </c>
      <c r="N55" s="2"/>
      <c r="O55" s="2"/>
      <c r="P55" s="2"/>
      <c r="Q55" s="2"/>
      <c r="S55" s="4"/>
    </row>
    <row r="56" customFormat="false" ht="14.25" hidden="false" customHeight="false" outlineLevel="0" collapsed="false">
      <c r="A56" s="1" t="s">
        <v>18</v>
      </c>
      <c r="B56" s="1" t="s">
        <v>10</v>
      </c>
      <c r="C56" s="1" t="n">
        <v>4</v>
      </c>
      <c r="D56" s="7" t="s">
        <v>11</v>
      </c>
      <c r="E56" s="2" t="n">
        <v>7.09</v>
      </c>
      <c r="F56" s="2" t="n">
        <v>5.49</v>
      </c>
      <c r="G56" s="2" t="n">
        <v>6.23</v>
      </c>
      <c r="H56" s="3" t="n">
        <v>0.33</v>
      </c>
      <c r="I56" s="4" t="n">
        <f aca="false">(G62-G56)/G56</f>
        <v>-0.027287319422151</v>
      </c>
      <c r="N56" s="2"/>
      <c r="O56" s="2"/>
      <c r="P56" s="2"/>
      <c r="Q56" s="2"/>
      <c r="S56" s="4"/>
    </row>
    <row r="57" customFormat="false" ht="14.25" hidden="false" customHeight="false" outlineLevel="0" collapsed="false">
      <c r="A57" s="1" t="s">
        <v>18</v>
      </c>
      <c r="B57" s="1" t="s">
        <v>12</v>
      </c>
      <c r="C57" s="1" t="n">
        <v>4</v>
      </c>
      <c r="D57" s="7" t="s">
        <v>11</v>
      </c>
      <c r="E57" s="2" t="n">
        <v>7.44</v>
      </c>
      <c r="F57" s="2" t="n">
        <v>5.59</v>
      </c>
      <c r="G57" s="2" t="n">
        <v>6.32</v>
      </c>
      <c r="H57" s="3" t="n">
        <v>0.33</v>
      </c>
      <c r="I57" s="4" t="n">
        <f aca="false">(G63-G57)/G57</f>
        <v>-0.0268987341772152</v>
      </c>
      <c r="N57" s="2"/>
      <c r="O57" s="2"/>
      <c r="P57" s="2"/>
      <c r="Q57" s="2"/>
      <c r="S57" s="4"/>
    </row>
    <row r="58" customFormat="false" ht="14.25" hidden="false" customHeight="false" outlineLevel="0" collapsed="false">
      <c r="A58" s="1" t="s">
        <v>18</v>
      </c>
      <c r="B58" s="1" t="s">
        <v>13</v>
      </c>
      <c r="C58" s="1" t="n">
        <v>4</v>
      </c>
      <c r="D58" s="7" t="s">
        <v>11</v>
      </c>
      <c r="E58" s="2" t="n">
        <v>5.49</v>
      </c>
      <c r="F58" s="2" t="n">
        <v>4.19</v>
      </c>
      <c r="G58" s="2" t="n">
        <v>4.85</v>
      </c>
      <c r="H58" s="3" t="n">
        <v>0.25</v>
      </c>
      <c r="I58" s="4" t="n">
        <f aca="false">(G64-G58)/G58</f>
        <v>-0.0041237113402061</v>
      </c>
      <c r="N58" s="2"/>
      <c r="O58" s="2"/>
      <c r="P58" s="2"/>
      <c r="Q58" s="2"/>
      <c r="S58" s="4"/>
    </row>
    <row r="59" customFormat="false" ht="14.25" hidden="false" customHeight="false" outlineLevel="0" collapsed="false">
      <c r="A59" s="1" t="s">
        <v>18</v>
      </c>
      <c r="B59" s="1" t="s">
        <v>14</v>
      </c>
      <c r="C59" s="1" t="n">
        <v>4</v>
      </c>
      <c r="D59" s="7" t="s">
        <v>11</v>
      </c>
      <c r="E59" s="2" t="n">
        <v>7.1</v>
      </c>
      <c r="F59" s="2" t="n">
        <v>5.51</v>
      </c>
      <c r="G59" s="2" t="n">
        <v>6.44</v>
      </c>
      <c r="H59" s="3" t="n">
        <v>0.33</v>
      </c>
      <c r="I59" s="4" t="n">
        <f aca="false">(G65-G59)/G59</f>
        <v>-0.0108695652173913</v>
      </c>
      <c r="N59" s="2"/>
      <c r="O59" s="2"/>
      <c r="P59" s="2"/>
      <c r="Q59" s="2"/>
      <c r="S59" s="4"/>
    </row>
    <row r="60" customFormat="false" ht="14.25" hidden="false" customHeight="false" outlineLevel="0" collapsed="false">
      <c r="A60" s="1" t="s">
        <v>18</v>
      </c>
      <c r="B60" s="1" t="s">
        <v>15</v>
      </c>
      <c r="C60" s="1" t="n">
        <v>4</v>
      </c>
      <c r="D60" s="7" t="s">
        <v>11</v>
      </c>
      <c r="E60" s="2" t="n">
        <v>7.37</v>
      </c>
      <c r="F60" s="2" t="n">
        <v>5.69</v>
      </c>
      <c r="G60" s="2" t="n">
        <v>6.53</v>
      </c>
      <c r="H60" s="3" t="n">
        <v>0.34</v>
      </c>
      <c r="I60" s="4" t="n">
        <f aca="false">(G66-G60)/G60</f>
        <v>-0.00765696784073504</v>
      </c>
      <c r="N60" s="2"/>
      <c r="O60" s="2"/>
      <c r="P60" s="2"/>
      <c r="Q60" s="2"/>
      <c r="S60" s="4"/>
    </row>
    <row r="61" customFormat="false" ht="14.25" hidden="false" customHeight="false" outlineLevel="0" collapsed="false">
      <c r="A61" s="1" t="s">
        <v>18</v>
      </c>
      <c r="B61" s="1" t="s">
        <v>16</v>
      </c>
      <c r="C61" s="1" t="n">
        <v>4</v>
      </c>
      <c r="D61" s="7" t="s">
        <v>17</v>
      </c>
      <c r="E61" s="2" t="n">
        <v>5.59</v>
      </c>
      <c r="F61" s="2" t="n">
        <v>3.99</v>
      </c>
      <c r="G61" s="2" t="n">
        <v>4.39</v>
      </c>
      <c r="H61" s="3" t="n">
        <v>0.38</v>
      </c>
      <c r="I61" s="4" t="n">
        <f aca="false">(G67-G61)/G61</f>
        <v>0.00455580865603655</v>
      </c>
      <c r="N61" s="2"/>
      <c r="O61" s="2"/>
      <c r="P61" s="2"/>
      <c r="Q61" s="2"/>
      <c r="S61" s="4"/>
    </row>
    <row r="62" customFormat="false" ht="14.25" hidden="false" customHeight="false" outlineLevel="0" collapsed="false">
      <c r="A62" s="1" t="s">
        <v>18</v>
      </c>
      <c r="B62" s="1" t="s">
        <v>10</v>
      </c>
      <c r="C62" s="1" t="n">
        <v>5</v>
      </c>
      <c r="D62" s="7" t="s">
        <v>11</v>
      </c>
      <c r="E62" s="2" t="n">
        <v>6.99</v>
      </c>
      <c r="F62" s="2" t="n">
        <v>5.36</v>
      </c>
      <c r="G62" s="2" t="n">
        <v>6.06</v>
      </c>
      <c r="H62" s="3" t="n">
        <v>0.37</v>
      </c>
      <c r="I62" s="4" t="n">
        <f aca="false">(G68-G62)/G62</f>
        <v>-0.0115511551155115</v>
      </c>
      <c r="N62" s="2"/>
      <c r="O62" s="2"/>
      <c r="P62" s="2"/>
      <c r="Q62" s="2"/>
      <c r="S62" s="4"/>
    </row>
    <row r="63" customFormat="false" ht="14.25" hidden="false" customHeight="false" outlineLevel="0" collapsed="false">
      <c r="A63" s="1" t="s">
        <v>18</v>
      </c>
      <c r="B63" s="1" t="s">
        <v>12</v>
      </c>
      <c r="C63" s="1" t="n">
        <v>5</v>
      </c>
      <c r="D63" s="7" t="s">
        <v>11</v>
      </c>
      <c r="E63" s="2" t="n">
        <v>7.16</v>
      </c>
      <c r="F63" s="2" t="n">
        <v>5.46</v>
      </c>
      <c r="G63" s="2" t="n">
        <v>6.15</v>
      </c>
      <c r="H63" s="3" t="n">
        <v>0.37</v>
      </c>
      <c r="I63" s="4" t="n">
        <f aca="false">(G69-G63)/G63</f>
        <v>-0.00813008130081312</v>
      </c>
      <c r="N63" s="2"/>
      <c r="O63" s="2"/>
      <c r="P63" s="2"/>
      <c r="Q63" s="2"/>
      <c r="S63" s="4"/>
    </row>
    <row r="64" customFormat="false" ht="14.25" hidden="false" customHeight="false" outlineLevel="0" collapsed="false">
      <c r="A64" s="1" t="s">
        <v>18</v>
      </c>
      <c r="B64" s="1" t="s">
        <v>13</v>
      </c>
      <c r="C64" s="1" t="n">
        <v>5</v>
      </c>
      <c r="D64" s="7" t="s">
        <v>11</v>
      </c>
      <c r="E64" s="2" t="n">
        <v>5.49</v>
      </c>
      <c r="F64" s="2" t="n">
        <v>3.89</v>
      </c>
      <c r="G64" s="2" t="n">
        <v>4.83</v>
      </c>
      <c r="H64" s="3" t="n">
        <v>0.23</v>
      </c>
      <c r="I64" s="4" t="n">
        <f aca="false">(G70-G64)/G64</f>
        <v>-0.0041407867494825</v>
      </c>
      <c r="N64" s="2"/>
      <c r="O64" s="2"/>
      <c r="P64" s="2"/>
      <c r="Q64" s="2"/>
      <c r="S64" s="4"/>
    </row>
    <row r="65" customFormat="false" ht="14.25" hidden="false" customHeight="false" outlineLevel="0" collapsed="false">
      <c r="A65" s="1" t="s">
        <v>18</v>
      </c>
      <c r="B65" s="1" t="s">
        <v>14</v>
      </c>
      <c r="C65" s="1" t="n">
        <v>5</v>
      </c>
      <c r="D65" s="7" t="s">
        <v>11</v>
      </c>
      <c r="E65" s="2" t="n">
        <v>7.27</v>
      </c>
      <c r="F65" s="2" t="n">
        <v>5.42</v>
      </c>
      <c r="G65" s="2" t="n">
        <v>6.37</v>
      </c>
      <c r="H65" s="3" t="n">
        <v>0.34</v>
      </c>
      <c r="I65" s="4" t="n">
        <f aca="false">(G71-G65)/G65</f>
        <v>0.00470957613814761</v>
      </c>
      <c r="N65" s="2"/>
      <c r="O65" s="2"/>
      <c r="P65" s="2"/>
      <c r="Q65" s="2"/>
      <c r="S65" s="4"/>
    </row>
    <row r="66" customFormat="false" ht="14.25" hidden="false" customHeight="false" outlineLevel="0" collapsed="false">
      <c r="A66" s="1" t="s">
        <v>18</v>
      </c>
      <c r="B66" s="1" t="s">
        <v>15</v>
      </c>
      <c r="C66" s="1" t="n">
        <v>5</v>
      </c>
      <c r="D66" s="7" t="s">
        <v>11</v>
      </c>
      <c r="E66" s="2" t="n">
        <v>7.99</v>
      </c>
      <c r="F66" s="2" t="n">
        <v>5.59</v>
      </c>
      <c r="G66" s="2" t="n">
        <v>6.48</v>
      </c>
      <c r="H66" s="3" t="n">
        <v>0.35</v>
      </c>
      <c r="I66" s="4" t="n">
        <f aca="false">(G72-G66)/G66</f>
        <v>0.00617283950617271</v>
      </c>
      <c r="N66" s="2"/>
      <c r="O66" s="2"/>
      <c r="P66" s="2"/>
      <c r="Q66" s="2"/>
      <c r="S66" s="4"/>
    </row>
    <row r="67" customFormat="false" ht="14.25" hidden="false" customHeight="false" outlineLevel="0" collapsed="false">
      <c r="A67" s="1" t="s">
        <v>18</v>
      </c>
      <c r="B67" s="1" t="s">
        <v>16</v>
      </c>
      <c r="C67" s="1" t="n">
        <v>5</v>
      </c>
      <c r="D67" s="7" t="s">
        <v>17</v>
      </c>
      <c r="E67" s="2" t="n">
        <v>5.59</v>
      </c>
      <c r="F67" s="2" t="n">
        <v>3.99</v>
      </c>
      <c r="G67" s="2" t="n">
        <v>4.41</v>
      </c>
      <c r="H67" s="3" t="n">
        <v>0.41</v>
      </c>
      <c r="I67" s="4" t="n">
        <f aca="false">(G73-G67)/G67</f>
        <v>0.0158730158730159</v>
      </c>
      <c r="N67" s="2"/>
      <c r="O67" s="2"/>
      <c r="P67" s="2"/>
      <c r="Q67" s="2"/>
      <c r="S67" s="4"/>
    </row>
    <row r="68" customFormat="false" ht="14.25" hidden="false" customHeight="false" outlineLevel="0" collapsed="false">
      <c r="A68" s="1" t="s">
        <v>18</v>
      </c>
      <c r="B68" s="1" t="s">
        <v>10</v>
      </c>
      <c r="C68" s="1" t="n">
        <v>6</v>
      </c>
      <c r="D68" s="7" t="s">
        <v>11</v>
      </c>
      <c r="E68" s="2" t="n">
        <v>6.95</v>
      </c>
      <c r="F68" s="2" t="n">
        <v>5.31</v>
      </c>
      <c r="G68" s="2" t="n">
        <v>5.99</v>
      </c>
      <c r="H68" s="3" t="n">
        <v>0.34</v>
      </c>
      <c r="I68" s="4"/>
      <c r="N68" s="2"/>
      <c r="O68" s="2"/>
      <c r="P68" s="2"/>
      <c r="Q68" s="2"/>
      <c r="S68" s="4"/>
    </row>
    <row r="69" customFormat="false" ht="14.25" hidden="false" customHeight="false" outlineLevel="0" collapsed="false">
      <c r="A69" s="1" t="s">
        <v>18</v>
      </c>
      <c r="B69" s="1" t="s">
        <v>12</v>
      </c>
      <c r="C69" s="1" t="n">
        <v>6</v>
      </c>
      <c r="D69" s="7" t="s">
        <v>11</v>
      </c>
      <c r="E69" s="2" t="n">
        <v>6.95</v>
      </c>
      <c r="F69" s="2" t="n">
        <v>5.41</v>
      </c>
      <c r="G69" s="2" t="n">
        <v>6.1</v>
      </c>
      <c r="H69" s="3" t="n">
        <v>0.36</v>
      </c>
      <c r="I69" s="4"/>
      <c r="N69" s="2"/>
      <c r="O69" s="2"/>
      <c r="P69" s="2"/>
      <c r="Q69" s="2"/>
      <c r="S69" s="4"/>
    </row>
    <row r="70" customFormat="false" ht="14.25" hidden="false" customHeight="false" outlineLevel="0" collapsed="false">
      <c r="A70" s="1" t="s">
        <v>18</v>
      </c>
      <c r="B70" s="1" t="s">
        <v>13</v>
      </c>
      <c r="C70" s="1" t="n">
        <v>6</v>
      </c>
      <c r="D70" s="7" t="s">
        <v>11</v>
      </c>
      <c r="E70" s="2" t="n">
        <v>5.49</v>
      </c>
      <c r="F70" s="2" t="n">
        <v>4.26</v>
      </c>
      <c r="G70" s="2" t="n">
        <v>4.81</v>
      </c>
      <c r="H70" s="3" t="n">
        <v>0.22</v>
      </c>
      <c r="I70" s="4"/>
      <c r="N70" s="2"/>
      <c r="O70" s="2"/>
      <c r="P70" s="2"/>
      <c r="Q70" s="2"/>
      <c r="S70" s="4"/>
    </row>
    <row r="71" customFormat="false" ht="14.25" hidden="false" customHeight="false" outlineLevel="0" collapsed="false">
      <c r="A71" s="1" t="s">
        <v>18</v>
      </c>
      <c r="B71" s="1" t="s">
        <v>14</v>
      </c>
      <c r="C71" s="1" t="n">
        <v>6</v>
      </c>
      <c r="D71" s="7" t="s">
        <v>11</v>
      </c>
      <c r="E71" s="2" t="n">
        <v>7.27</v>
      </c>
      <c r="F71" s="2" t="n">
        <v>5.59</v>
      </c>
      <c r="G71" s="2" t="n">
        <v>6.4</v>
      </c>
      <c r="H71" s="3" t="n">
        <v>0.27</v>
      </c>
      <c r="I71" s="4"/>
      <c r="N71" s="2"/>
      <c r="O71" s="2"/>
      <c r="P71" s="2"/>
      <c r="Q71" s="2"/>
      <c r="S71" s="4"/>
    </row>
    <row r="72" customFormat="false" ht="14.25" hidden="false" customHeight="false" outlineLevel="0" collapsed="false">
      <c r="A72" s="1" t="s">
        <v>18</v>
      </c>
      <c r="B72" s="1" t="s">
        <v>15</v>
      </c>
      <c r="C72" s="1" t="n">
        <v>6</v>
      </c>
      <c r="D72" s="7" t="s">
        <v>11</v>
      </c>
      <c r="E72" s="2" t="n">
        <v>7.99</v>
      </c>
      <c r="F72" s="2" t="n">
        <v>5.59</v>
      </c>
      <c r="G72" s="2" t="n">
        <v>6.52</v>
      </c>
      <c r="H72" s="3" t="n">
        <v>0.28</v>
      </c>
      <c r="I72" s="4"/>
      <c r="N72" s="2"/>
      <c r="O72" s="2"/>
      <c r="P72" s="2"/>
      <c r="Q72" s="2"/>
      <c r="S72" s="4"/>
    </row>
    <row r="73" customFormat="false" ht="14.25" hidden="false" customHeight="false" outlineLevel="0" collapsed="false">
      <c r="A73" s="1" t="s">
        <v>18</v>
      </c>
      <c r="B73" s="1" t="s">
        <v>16</v>
      </c>
      <c r="C73" s="1" t="n">
        <v>6</v>
      </c>
      <c r="D73" s="7" t="s">
        <v>17</v>
      </c>
      <c r="E73" s="2" t="n">
        <v>5.79</v>
      </c>
      <c r="F73" s="2" t="n">
        <v>4.23</v>
      </c>
      <c r="G73" s="2" t="n">
        <v>4.48</v>
      </c>
      <c r="H73" s="3" t="n">
        <v>0.38</v>
      </c>
      <c r="I73" s="4"/>
      <c r="N73" s="2"/>
      <c r="O73" s="2"/>
      <c r="P73" s="2"/>
      <c r="Q73" s="2"/>
      <c r="S73" s="4"/>
    </row>
    <row r="74" customFormat="false" ht="14.25" hidden="false" customHeight="false" outlineLevel="0" collapsed="false">
      <c r="A74" s="1" t="s">
        <v>19</v>
      </c>
      <c r="B74" s="1" t="s">
        <v>10</v>
      </c>
      <c r="C74" s="1" t="n">
        <v>1</v>
      </c>
      <c r="D74" s="7" t="s">
        <v>11</v>
      </c>
      <c r="E74" s="2" t="n">
        <v>6.69</v>
      </c>
      <c r="F74" s="2" t="n">
        <v>6.19</v>
      </c>
      <c r="G74" s="2" t="n">
        <v>6.48</v>
      </c>
      <c r="H74" s="3" t="n">
        <v>0.15</v>
      </c>
      <c r="I74" s="4" t="n">
        <f aca="false">(G80-G74)/G74</f>
        <v>0.0401234567901234</v>
      </c>
      <c r="N74" s="2"/>
      <c r="O74" s="2"/>
      <c r="P74" s="2"/>
      <c r="Q74" s="2"/>
      <c r="S74" s="4"/>
    </row>
    <row r="75" customFormat="false" ht="14.25" hidden="false" customHeight="false" outlineLevel="0" collapsed="false">
      <c r="A75" s="1" t="s">
        <v>19</v>
      </c>
      <c r="B75" s="1" t="s">
        <v>12</v>
      </c>
      <c r="C75" s="1" t="n">
        <v>1</v>
      </c>
      <c r="D75" s="7" t="s">
        <v>11</v>
      </c>
      <c r="E75" s="2" t="n">
        <v>7.09</v>
      </c>
      <c r="F75" s="2" t="n">
        <v>5.79</v>
      </c>
      <c r="G75" s="2" t="n">
        <v>6.29</v>
      </c>
      <c r="H75" s="3" t="n">
        <v>0.28</v>
      </c>
      <c r="I75" s="4" t="n">
        <f aca="false">(G81-G75)/G75</f>
        <v>0.0429252782193958</v>
      </c>
      <c r="N75" s="2"/>
      <c r="O75" s="2"/>
      <c r="P75" s="2"/>
      <c r="Q75" s="2"/>
      <c r="S75" s="4"/>
    </row>
    <row r="76" customFormat="false" ht="14.25" hidden="false" customHeight="false" outlineLevel="0" collapsed="false">
      <c r="A76" s="1" t="s">
        <v>19</v>
      </c>
      <c r="B76" s="1" t="s">
        <v>13</v>
      </c>
      <c r="C76" s="1" t="n">
        <v>1</v>
      </c>
      <c r="D76" s="7" t="s">
        <v>11</v>
      </c>
      <c r="E76" s="2" t="n">
        <v>5.65</v>
      </c>
      <c r="F76" s="2" t="n">
        <v>4.27</v>
      </c>
      <c r="G76" s="2" t="n">
        <v>4.93</v>
      </c>
      <c r="H76" s="3" t="n">
        <v>0.32</v>
      </c>
      <c r="I76" s="4" t="n">
        <f aca="false">(G82-G76)/G76</f>
        <v>0.0405679513184585</v>
      </c>
      <c r="N76" s="2"/>
      <c r="O76" s="2"/>
      <c r="P76" s="2"/>
      <c r="Q76" s="2"/>
      <c r="S76" s="4"/>
    </row>
    <row r="77" customFormat="false" ht="14.25" hidden="false" customHeight="false" outlineLevel="0" collapsed="false">
      <c r="A77" s="1" t="s">
        <v>19</v>
      </c>
      <c r="B77" s="1" t="s">
        <v>14</v>
      </c>
      <c r="C77" s="1" t="n">
        <v>1</v>
      </c>
      <c r="D77" s="7" t="s">
        <v>11</v>
      </c>
      <c r="E77" s="2" t="n">
        <v>6.89</v>
      </c>
      <c r="F77" s="2" t="n">
        <v>5.79</v>
      </c>
      <c r="G77" s="2" t="n">
        <v>6.39</v>
      </c>
      <c r="H77" s="3" t="n">
        <v>0.21</v>
      </c>
      <c r="I77" s="4" t="n">
        <f aca="false">(G83-G77)/G77</f>
        <v>0.00312989045383419</v>
      </c>
      <c r="N77" s="2"/>
      <c r="O77" s="2"/>
      <c r="P77" s="2"/>
      <c r="Q77" s="2"/>
      <c r="S77" s="4"/>
    </row>
    <row r="78" customFormat="false" ht="14.25" hidden="false" customHeight="false" outlineLevel="0" collapsed="false">
      <c r="A78" s="1" t="s">
        <v>19</v>
      </c>
      <c r="B78" s="1" t="s">
        <v>15</v>
      </c>
      <c r="C78" s="1" t="n">
        <v>1</v>
      </c>
      <c r="D78" s="7" t="s">
        <v>11</v>
      </c>
      <c r="E78" s="2" t="n">
        <v>6.99</v>
      </c>
      <c r="F78" s="2" t="n">
        <v>5.95</v>
      </c>
      <c r="G78" s="2" t="n">
        <v>6.54</v>
      </c>
      <c r="H78" s="3" t="n">
        <v>0.22</v>
      </c>
      <c r="I78" s="4" t="n">
        <f aca="false">(G84-G78)/G78</f>
        <v>0.0030581039755351</v>
      </c>
      <c r="N78" s="2"/>
      <c r="O78" s="2"/>
      <c r="P78" s="2"/>
      <c r="Q78" s="2"/>
      <c r="S78" s="4"/>
    </row>
    <row r="79" customFormat="false" ht="14.25" hidden="false" customHeight="false" outlineLevel="0" collapsed="false">
      <c r="A79" s="1" t="s">
        <v>19</v>
      </c>
      <c r="B79" s="1" t="s">
        <v>16</v>
      </c>
      <c r="C79" s="1" t="n">
        <v>1</v>
      </c>
      <c r="D79" s="7" t="s">
        <v>17</v>
      </c>
      <c r="E79" s="2" t="n">
        <v>6.09</v>
      </c>
      <c r="F79" s="2" t="n">
        <v>4.85</v>
      </c>
      <c r="G79" s="2" t="n">
        <v>4.94</v>
      </c>
      <c r="H79" s="3" t="n">
        <v>0.23</v>
      </c>
      <c r="I79" s="4" t="n">
        <f aca="false">(G85-G79)/G79</f>
        <v>0.0425101214574899</v>
      </c>
      <c r="N79" s="2"/>
      <c r="O79" s="2"/>
      <c r="P79" s="2"/>
      <c r="Q79" s="2"/>
      <c r="S79" s="4"/>
    </row>
    <row r="80" customFormat="false" ht="14.25" hidden="false" customHeight="false" outlineLevel="0" collapsed="false">
      <c r="A80" s="1" t="s">
        <v>19</v>
      </c>
      <c r="B80" s="1" t="s">
        <v>10</v>
      </c>
      <c r="C80" s="1" t="n">
        <v>2</v>
      </c>
      <c r="D80" s="7" t="s">
        <v>11</v>
      </c>
      <c r="E80" s="2" t="n">
        <v>7.09</v>
      </c>
      <c r="F80" s="2" t="n">
        <v>6.55</v>
      </c>
      <c r="G80" s="2" t="n">
        <v>6.74</v>
      </c>
      <c r="H80" s="3" t="n">
        <v>0.14</v>
      </c>
      <c r="I80" s="4" t="n">
        <f aca="false">(G86-G80)/G80</f>
        <v>-0.0163204747774481</v>
      </c>
      <c r="N80" s="2"/>
      <c r="O80" s="2"/>
      <c r="P80" s="2"/>
      <c r="Q80" s="2"/>
      <c r="S80" s="4"/>
    </row>
    <row r="81" customFormat="false" ht="14.25" hidden="false" customHeight="false" outlineLevel="0" collapsed="false">
      <c r="A81" s="1" t="s">
        <v>19</v>
      </c>
      <c r="B81" s="1" t="s">
        <v>12</v>
      </c>
      <c r="C81" s="1" t="n">
        <v>2</v>
      </c>
      <c r="D81" s="7" t="s">
        <v>11</v>
      </c>
      <c r="E81" s="2" t="n">
        <v>7.29</v>
      </c>
      <c r="F81" s="2" t="n">
        <v>5.87</v>
      </c>
      <c r="G81" s="2" t="n">
        <v>6.56</v>
      </c>
      <c r="H81" s="3" t="n">
        <v>0.3</v>
      </c>
      <c r="I81" s="4" t="n">
        <f aca="false">(G87-G81)/G81</f>
        <v>0.00304878048780495</v>
      </c>
      <c r="N81" s="2"/>
      <c r="O81" s="2"/>
      <c r="P81" s="2"/>
      <c r="Q81" s="2"/>
      <c r="S81" s="4"/>
    </row>
    <row r="82" customFormat="false" ht="14.25" hidden="false" customHeight="false" outlineLevel="0" collapsed="false">
      <c r="A82" s="1" t="s">
        <v>19</v>
      </c>
      <c r="B82" s="1" t="s">
        <v>13</v>
      </c>
      <c r="C82" s="1" t="n">
        <v>2</v>
      </c>
      <c r="D82" s="7" t="s">
        <v>11</v>
      </c>
      <c r="E82" s="2" t="n">
        <v>5.93</v>
      </c>
      <c r="F82" s="2" t="n">
        <v>4.49</v>
      </c>
      <c r="G82" s="2" t="n">
        <v>5.13</v>
      </c>
      <c r="H82" s="3" t="n">
        <v>0.28</v>
      </c>
      <c r="I82" s="4" t="n">
        <f aca="false">(G88-G82)/G82</f>
        <v>0.0116959064327486</v>
      </c>
      <c r="N82" s="2"/>
      <c r="O82" s="2"/>
      <c r="P82" s="2"/>
      <c r="Q82" s="2"/>
      <c r="S82" s="4"/>
    </row>
    <row r="83" customFormat="false" ht="14.25" hidden="false" customHeight="false" outlineLevel="0" collapsed="false">
      <c r="A83" s="1" t="s">
        <v>19</v>
      </c>
      <c r="B83" s="1" t="s">
        <v>14</v>
      </c>
      <c r="C83" s="1" t="n">
        <v>2</v>
      </c>
      <c r="D83" s="7" t="s">
        <v>11</v>
      </c>
      <c r="E83" s="2" t="n">
        <v>6.97</v>
      </c>
      <c r="F83" s="2" t="n">
        <v>5.77</v>
      </c>
      <c r="G83" s="2" t="n">
        <v>6.41</v>
      </c>
      <c r="H83" s="3" t="n">
        <v>0.35</v>
      </c>
      <c r="I83" s="4" t="n">
        <f aca="false">(G89-G83)/G83</f>
        <v>0</v>
      </c>
      <c r="N83" s="2"/>
      <c r="O83" s="2"/>
      <c r="P83" s="2"/>
      <c r="Q83" s="2"/>
      <c r="S83" s="4"/>
    </row>
    <row r="84" customFormat="false" ht="14.25" hidden="false" customHeight="false" outlineLevel="0" collapsed="false">
      <c r="A84" s="1" t="s">
        <v>19</v>
      </c>
      <c r="B84" s="1" t="s">
        <v>15</v>
      </c>
      <c r="C84" s="1" t="n">
        <v>2</v>
      </c>
      <c r="D84" s="7" t="s">
        <v>11</v>
      </c>
      <c r="E84" s="2" t="n">
        <v>7.19</v>
      </c>
      <c r="F84" s="2" t="n">
        <v>5.89</v>
      </c>
      <c r="G84" s="2" t="n">
        <v>6.56</v>
      </c>
      <c r="H84" s="3" t="n">
        <v>0.32</v>
      </c>
      <c r="I84" s="4" t="n">
        <f aca="false">(G90-G84)/G84</f>
        <v>0</v>
      </c>
      <c r="N84" s="2"/>
      <c r="O84" s="2"/>
      <c r="P84" s="2"/>
      <c r="Q84" s="2"/>
      <c r="S84" s="4"/>
    </row>
    <row r="85" customFormat="false" ht="14.25" hidden="false" customHeight="false" outlineLevel="0" collapsed="false">
      <c r="A85" s="1" t="s">
        <v>19</v>
      </c>
      <c r="B85" s="1" t="s">
        <v>16</v>
      </c>
      <c r="C85" s="1" t="n">
        <v>2</v>
      </c>
      <c r="D85" s="7" t="s">
        <v>17</v>
      </c>
      <c r="E85" s="2" t="n">
        <v>6.09</v>
      </c>
      <c r="F85" s="2" t="n">
        <v>4.85</v>
      </c>
      <c r="G85" s="2" t="n">
        <v>5.15</v>
      </c>
      <c r="H85" s="3" t="n">
        <v>0.32</v>
      </c>
      <c r="I85" s="4" t="n">
        <f aca="false">(G91-G85)/G85</f>
        <v>0.0116504854368931</v>
      </c>
      <c r="N85" s="2"/>
      <c r="O85" s="2"/>
      <c r="P85" s="2"/>
      <c r="Q85" s="2"/>
      <c r="S85" s="4"/>
    </row>
    <row r="86" customFormat="false" ht="14.25" hidden="false" customHeight="false" outlineLevel="0" collapsed="false">
      <c r="A86" s="1" t="s">
        <v>19</v>
      </c>
      <c r="B86" s="1" t="s">
        <v>10</v>
      </c>
      <c r="C86" s="1" t="n">
        <v>3</v>
      </c>
      <c r="D86" s="7" t="s">
        <v>11</v>
      </c>
      <c r="E86" s="2" t="n">
        <v>6.89</v>
      </c>
      <c r="F86" s="2" t="n">
        <v>6.04</v>
      </c>
      <c r="G86" s="2" t="n">
        <v>6.63</v>
      </c>
      <c r="H86" s="3" t="n">
        <v>0.22</v>
      </c>
      <c r="I86" s="4" t="n">
        <f aca="false">(G92-G86)/G86</f>
        <v>-0.00452488687782809</v>
      </c>
      <c r="N86" s="2"/>
      <c r="O86" s="2"/>
      <c r="P86" s="2"/>
      <c r="Q86" s="2"/>
      <c r="S86" s="4"/>
    </row>
    <row r="87" customFormat="false" ht="14.25" hidden="false" customHeight="false" outlineLevel="0" collapsed="false">
      <c r="A87" s="1" t="s">
        <v>19</v>
      </c>
      <c r="B87" s="1" t="s">
        <v>12</v>
      </c>
      <c r="C87" s="1" t="n">
        <v>3</v>
      </c>
      <c r="D87" s="7" t="s">
        <v>11</v>
      </c>
      <c r="E87" s="2" t="n">
        <v>7.29</v>
      </c>
      <c r="F87" s="2" t="n">
        <v>5.89</v>
      </c>
      <c r="G87" s="2" t="n">
        <v>6.58</v>
      </c>
      <c r="H87" s="3" t="n">
        <v>0.3</v>
      </c>
      <c r="I87" s="4" t="n">
        <f aca="false">(G93-G87)/G87</f>
        <v>-0.0303951367781155</v>
      </c>
      <c r="N87" s="2"/>
      <c r="O87" s="2"/>
      <c r="P87" s="2"/>
      <c r="Q87" s="2"/>
      <c r="S87" s="4"/>
    </row>
    <row r="88" customFormat="false" ht="14.25" hidden="false" customHeight="false" outlineLevel="0" collapsed="false">
      <c r="A88" s="1" t="s">
        <v>19</v>
      </c>
      <c r="B88" s="1" t="s">
        <v>13</v>
      </c>
      <c r="C88" s="1" t="n">
        <v>3</v>
      </c>
      <c r="D88" s="7" t="s">
        <v>11</v>
      </c>
      <c r="E88" s="2" t="n">
        <v>5.99</v>
      </c>
      <c r="F88" s="2" t="n">
        <v>4.59</v>
      </c>
      <c r="G88" s="2" t="n">
        <v>5.19</v>
      </c>
      <c r="H88" s="3" t="n">
        <v>0.27</v>
      </c>
      <c r="I88" s="4" t="n">
        <f aca="false">(G94-G88)/G88</f>
        <v>0.0211946050096338</v>
      </c>
      <c r="N88" s="2"/>
      <c r="O88" s="2"/>
      <c r="P88" s="2"/>
      <c r="Q88" s="2"/>
      <c r="S88" s="4"/>
    </row>
    <row r="89" customFormat="false" ht="14.25" hidden="false" customHeight="false" outlineLevel="0" collapsed="false">
      <c r="A89" s="1" t="s">
        <v>19</v>
      </c>
      <c r="B89" s="1" t="s">
        <v>14</v>
      </c>
      <c r="C89" s="1" t="n">
        <v>3</v>
      </c>
      <c r="D89" s="7" t="s">
        <v>11</v>
      </c>
      <c r="E89" s="2" t="n">
        <v>6.99</v>
      </c>
      <c r="F89" s="2" t="n">
        <v>5.74</v>
      </c>
      <c r="G89" s="2" t="n">
        <v>6.41</v>
      </c>
      <c r="H89" s="3" t="n">
        <v>0.34</v>
      </c>
      <c r="I89" s="4" t="n">
        <f aca="false">(G95-G89)/G89</f>
        <v>0.0156006240249609</v>
      </c>
      <c r="N89" s="2"/>
      <c r="O89" s="2"/>
      <c r="P89" s="2"/>
      <c r="Q89" s="2"/>
      <c r="S89" s="4"/>
    </row>
    <row r="90" customFormat="false" ht="14.25" hidden="false" customHeight="false" outlineLevel="0" collapsed="false">
      <c r="A90" s="1" t="s">
        <v>19</v>
      </c>
      <c r="B90" s="1" t="s">
        <v>15</v>
      </c>
      <c r="C90" s="1" t="n">
        <v>3</v>
      </c>
      <c r="D90" s="7" t="s">
        <v>11</v>
      </c>
      <c r="E90" s="2" t="n">
        <v>7.19</v>
      </c>
      <c r="F90" s="2" t="n">
        <v>5.84</v>
      </c>
      <c r="G90" s="2" t="n">
        <v>6.56</v>
      </c>
      <c r="H90" s="3" t="n">
        <v>0.31</v>
      </c>
      <c r="I90" s="4" t="n">
        <f aca="false">(G96-G90)/G90</f>
        <v>0.0121951219512195</v>
      </c>
      <c r="N90" s="2"/>
      <c r="O90" s="2"/>
      <c r="P90" s="2"/>
      <c r="Q90" s="2"/>
      <c r="S90" s="4"/>
    </row>
    <row r="91" customFormat="false" ht="14.25" hidden="false" customHeight="false" outlineLevel="0" collapsed="false">
      <c r="A91" s="1" t="s">
        <v>19</v>
      </c>
      <c r="B91" s="1" t="s">
        <v>16</v>
      </c>
      <c r="C91" s="1" t="n">
        <v>3</v>
      </c>
      <c r="D91" s="7" t="s">
        <v>17</v>
      </c>
      <c r="E91" s="2" t="n">
        <v>6.09</v>
      </c>
      <c r="F91" s="2" t="n">
        <v>4.85</v>
      </c>
      <c r="G91" s="2" t="n">
        <v>5.21</v>
      </c>
      <c r="H91" s="3" t="n">
        <v>0.28</v>
      </c>
      <c r="I91" s="4" t="n">
        <f aca="false">(G97-G91)/G91</f>
        <v>-0.0115163147792706</v>
      </c>
      <c r="N91" s="2"/>
      <c r="O91" s="2"/>
      <c r="P91" s="2"/>
      <c r="Q91" s="2"/>
      <c r="S91" s="4"/>
    </row>
    <row r="92" customFormat="false" ht="14.25" hidden="false" customHeight="false" outlineLevel="0" collapsed="false">
      <c r="A92" s="1" t="s">
        <v>19</v>
      </c>
      <c r="B92" s="1" t="s">
        <v>10</v>
      </c>
      <c r="C92" s="1" t="n">
        <v>4</v>
      </c>
      <c r="D92" s="7" t="s">
        <v>11</v>
      </c>
      <c r="E92" s="2" t="n">
        <v>7.09</v>
      </c>
      <c r="F92" s="2" t="n">
        <v>5.89</v>
      </c>
      <c r="G92" s="2" t="n">
        <v>6.6</v>
      </c>
      <c r="H92" s="3" t="n">
        <v>0.25</v>
      </c>
      <c r="I92" s="4" t="n">
        <f aca="false">(G98-G92)/G92</f>
        <v>-0.0121212121212121</v>
      </c>
      <c r="N92" s="2"/>
      <c r="O92" s="2"/>
      <c r="P92" s="2"/>
      <c r="Q92" s="2"/>
      <c r="S92" s="4"/>
    </row>
    <row r="93" customFormat="false" ht="14.25" hidden="false" customHeight="false" outlineLevel="0" collapsed="false">
      <c r="A93" s="1" t="s">
        <v>19</v>
      </c>
      <c r="B93" s="1" t="s">
        <v>12</v>
      </c>
      <c r="C93" s="1" t="n">
        <v>4</v>
      </c>
      <c r="D93" s="7" t="s">
        <v>11</v>
      </c>
      <c r="E93" s="2" t="n">
        <v>7.29</v>
      </c>
      <c r="F93" s="2" t="n">
        <v>5.49</v>
      </c>
      <c r="G93" s="2" t="n">
        <v>6.38</v>
      </c>
      <c r="H93" s="3" t="n">
        <v>0.36</v>
      </c>
      <c r="I93" s="4" t="n">
        <f aca="false">(G99-G93)/G93</f>
        <v>-0.0235109717868338</v>
      </c>
      <c r="N93" s="2"/>
      <c r="O93" s="2"/>
      <c r="P93" s="2"/>
      <c r="Q93" s="2"/>
      <c r="S93" s="4"/>
    </row>
    <row r="94" customFormat="false" ht="14.25" hidden="false" customHeight="false" outlineLevel="0" collapsed="false">
      <c r="A94" s="1" t="s">
        <v>19</v>
      </c>
      <c r="B94" s="1" t="s">
        <v>13</v>
      </c>
      <c r="C94" s="1" t="n">
        <v>4</v>
      </c>
      <c r="D94" s="7" t="s">
        <v>11</v>
      </c>
      <c r="E94" s="2" t="n">
        <v>6.19</v>
      </c>
      <c r="F94" s="2" t="n">
        <v>4.56</v>
      </c>
      <c r="G94" s="2" t="n">
        <v>5.3</v>
      </c>
      <c r="H94" s="3" t="n">
        <v>0.23</v>
      </c>
      <c r="I94" s="4" t="n">
        <f aca="false">(G100-G94)/G94</f>
        <v>0.00377358490566046</v>
      </c>
      <c r="N94" s="2"/>
      <c r="O94" s="2"/>
      <c r="P94" s="2"/>
      <c r="Q94" s="2"/>
      <c r="S94" s="4"/>
    </row>
    <row r="95" customFormat="false" ht="14.25" hidden="false" customHeight="false" outlineLevel="0" collapsed="false">
      <c r="A95" s="1" t="s">
        <v>19</v>
      </c>
      <c r="B95" s="1" t="s">
        <v>14</v>
      </c>
      <c r="C95" s="1" t="n">
        <v>4</v>
      </c>
      <c r="D95" s="7" t="s">
        <v>11</v>
      </c>
      <c r="E95" s="2" t="n">
        <v>7.19</v>
      </c>
      <c r="F95" s="2" t="n">
        <v>5.66</v>
      </c>
      <c r="G95" s="2" t="n">
        <v>6.51</v>
      </c>
      <c r="H95" s="3" t="n">
        <v>0.23</v>
      </c>
      <c r="I95" s="4" t="n">
        <f aca="false">(G101-G95)/G95</f>
        <v>0.00153609831029183</v>
      </c>
      <c r="N95" s="2"/>
      <c r="O95" s="2"/>
      <c r="P95" s="2"/>
      <c r="Q95" s="2"/>
      <c r="S95" s="4"/>
    </row>
    <row r="96" customFormat="false" ht="14.25" hidden="false" customHeight="false" outlineLevel="0" collapsed="false">
      <c r="A96" s="1" t="s">
        <v>19</v>
      </c>
      <c r="B96" s="1" t="s">
        <v>15</v>
      </c>
      <c r="C96" s="1" t="n">
        <v>4</v>
      </c>
      <c r="D96" s="7" t="s">
        <v>11</v>
      </c>
      <c r="E96" s="2" t="n">
        <v>7.19</v>
      </c>
      <c r="F96" s="2" t="n">
        <v>5.79</v>
      </c>
      <c r="G96" s="2" t="n">
        <v>6.64</v>
      </c>
      <c r="H96" s="3" t="n">
        <v>0.22</v>
      </c>
      <c r="I96" s="4" t="n">
        <f aca="false">(G102-G96)/G96</f>
        <v>0</v>
      </c>
      <c r="N96" s="2"/>
      <c r="O96" s="2"/>
      <c r="P96" s="2"/>
      <c r="Q96" s="2"/>
      <c r="S96" s="4"/>
    </row>
    <row r="97" customFormat="false" ht="14.25" hidden="false" customHeight="false" outlineLevel="0" collapsed="false">
      <c r="A97" s="1" t="s">
        <v>19</v>
      </c>
      <c r="B97" s="1" t="s">
        <v>16</v>
      </c>
      <c r="C97" s="1" t="n">
        <v>4</v>
      </c>
      <c r="D97" s="7" t="s">
        <v>17</v>
      </c>
      <c r="E97" s="2" t="n">
        <v>6.09</v>
      </c>
      <c r="F97" s="2" t="n">
        <v>4.85</v>
      </c>
      <c r="G97" s="2" t="n">
        <v>5.15</v>
      </c>
      <c r="H97" s="3" t="n">
        <v>0.16</v>
      </c>
      <c r="I97" s="4" t="n">
        <f aca="false">(G103-G97)/G97</f>
        <v>-0.00582524271844665</v>
      </c>
      <c r="N97" s="2"/>
      <c r="O97" s="2"/>
      <c r="P97" s="2"/>
      <c r="Q97" s="2"/>
      <c r="S97" s="4"/>
    </row>
    <row r="98" customFormat="false" ht="14.25" hidden="false" customHeight="false" outlineLevel="0" collapsed="false">
      <c r="A98" s="1" t="s">
        <v>19</v>
      </c>
      <c r="B98" s="1" t="s">
        <v>10</v>
      </c>
      <c r="C98" s="1" t="n">
        <v>5</v>
      </c>
      <c r="D98" s="7" t="s">
        <v>11</v>
      </c>
      <c r="E98" s="2" t="n">
        <v>6.89</v>
      </c>
      <c r="F98" s="2" t="n">
        <v>5.77</v>
      </c>
      <c r="G98" s="2" t="n">
        <v>6.52</v>
      </c>
      <c r="H98" s="3" t="n">
        <v>0.32</v>
      </c>
      <c r="I98" s="4" t="n">
        <f aca="false">(G104-G98)/G98</f>
        <v>-0.0245398773006134</v>
      </c>
      <c r="N98" s="2"/>
      <c r="O98" s="2"/>
      <c r="P98" s="2"/>
      <c r="Q98" s="2"/>
      <c r="S98" s="4"/>
    </row>
    <row r="99" customFormat="false" ht="14.25" hidden="false" customHeight="false" outlineLevel="0" collapsed="false">
      <c r="A99" s="1" t="s">
        <v>19</v>
      </c>
      <c r="B99" s="1" t="s">
        <v>12</v>
      </c>
      <c r="C99" s="1" t="n">
        <v>5</v>
      </c>
      <c r="D99" s="7" t="s">
        <v>11</v>
      </c>
      <c r="E99" s="2" t="n">
        <v>7.09</v>
      </c>
      <c r="F99" s="2" t="n">
        <v>5.34</v>
      </c>
      <c r="G99" s="2" t="n">
        <v>6.23</v>
      </c>
      <c r="H99" s="3" t="n">
        <v>0.41</v>
      </c>
      <c r="I99" s="4" t="n">
        <f aca="false">(G105-G99)/G99</f>
        <v>-0.0288924558587481</v>
      </c>
      <c r="N99" s="2"/>
      <c r="O99" s="2"/>
      <c r="P99" s="2"/>
      <c r="Q99" s="2"/>
      <c r="S99" s="4"/>
    </row>
    <row r="100" customFormat="false" ht="14.25" hidden="false" customHeight="false" outlineLevel="0" collapsed="false">
      <c r="A100" s="1" t="s">
        <v>19</v>
      </c>
      <c r="B100" s="1" t="s">
        <v>13</v>
      </c>
      <c r="C100" s="1" t="n">
        <v>5</v>
      </c>
      <c r="D100" s="7" t="s">
        <v>11</v>
      </c>
      <c r="E100" s="2" t="n">
        <v>5.99</v>
      </c>
      <c r="F100" s="2" t="n">
        <v>3.39</v>
      </c>
      <c r="G100" s="2" t="n">
        <v>5.32</v>
      </c>
      <c r="H100" s="3" t="n">
        <v>0.21</v>
      </c>
      <c r="I100" s="4" t="n">
        <f aca="false">(G106-G100)/G100</f>
        <v>-0.00751879699248121</v>
      </c>
      <c r="N100" s="2"/>
      <c r="O100" s="2"/>
      <c r="P100" s="2"/>
      <c r="Q100" s="2"/>
      <c r="S100" s="4"/>
    </row>
    <row r="101" customFormat="false" ht="14.25" hidden="false" customHeight="false" outlineLevel="0" collapsed="false">
      <c r="A101" s="1" t="s">
        <v>19</v>
      </c>
      <c r="B101" s="1" t="s">
        <v>14</v>
      </c>
      <c r="C101" s="1" t="n">
        <v>5</v>
      </c>
      <c r="D101" s="7" t="s">
        <v>11</v>
      </c>
      <c r="E101" s="2" t="n">
        <v>6.89</v>
      </c>
      <c r="F101" s="2" t="n">
        <v>5.38</v>
      </c>
      <c r="G101" s="2" t="n">
        <v>6.52</v>
      </c>
      <c r="H101" s="3" t="n">
        <v>0.15</v>
      </c>
      <c r="I101" s="4" t="n">
        <f aca="false">(G107-G101)/G101</f>
        <v>-0.0107361963190183</v>
      </c>
      <c r="N101" s="2"/>
      <c r="O101" s="2"/>
      <c r="P101" s="2"/>
      <c r="Q101" s="2"/>
      <c r="S101" s="4"/>
    </row>
    <row r="102" customFormat="false" ht="14.25" hidden="false" customHeight="false" outlineLevel="0" collapsed="false">
      <c r="A102" s="1" t="s">
        <v>19</v>
      </c>
      <c r="B102" s="1" t="s">
        <v>15</v>
      </c>
      <c r="C102" s="1" t="n">
        <v>5</v>
      </c>
      <c r="D102" s="7" t="s">
        <v>11</v>
      </c>
      <c r="E102" s="2" t="n">
        <v>6.99</v>
      </c>
      <c r="F102" s="2" t="n">
        <v>6.2</v>
      </c>
      <c r="G102" s="2" t="n">
        <v>6.64</v>
      </c>
      <c r="H102" s="3" t="n">
        <v>0.15</v>
      </c>
      <c r="I102" s="4" t="n">
        <f aca="false">(G108-G102)/G102</f>
        <v>-0.0105421686746987</v>
      </c>
      <c r="N102" s="2"/>
      <c r="O102" s="2"/>
      <c r="P102" s="2"/>
      <c r="Q102" s="2"/>
      <c r="S102" s="4"/>
    </row>
    <row r="103" customFormat="false" ht="14.25" hidden="false" customHeight="false" outlineLevel="0" collapsed="false">
      <c r="A103" s="1" t="s">
        <v>19</v>
      </c>
      <c r="B103" s="1" t="s">
        <v>16</v>
      </c>
      <c r="C103" s="1" t="n">
        <v>5</v>
      </c>
      <c r="D103" s="7" t="s">
        <v>17</v>
      </c>
      <c r="E103" s="2" t="n">
        <v>5.15</v>
      </c>
      <c r="F103" s="2" t="n">
        <v>4.85</v>
      </c>
      <c r="G103" s="2" t="n">
        <v>5.12</v>
      </c>
      <c r="H103" s="3" t="n">
        <v>0.08</v>
      </c>
      <c r="I103" s="4" t="n">
        <f aca="false">(G109-G103)/G103</f>
        <v>0.00390624999999992</v>
      </c>
      <c r="N103" s="2"/>
      <c r="O103" s="2"/>
      <c r="P103" s="2"/>
      <c r="Q103" s="2"/>
      <c r="S103" s="4"/>
    </row>
    <row r="104" customFormat="false" ht="14.25" hidden="false" customHeight="false" outlineLevel="0" collapsed="false">
      <c r="A104" s="1" t="s">
        <v>19</v>
      </c>
      <c r="B104" s="1" t="s">
        <v>10</v>
      </c>
      <c r="C104" s="1" t="n">
        <v>6</v>
      </c>
      <c r="D104" s="7" t="s">
        <v>11</v>
      </c>
      <c r="E104" s="2" t="n">
        <v>6.89</v>
      </c>
      <c r="F104" s="2" t="n">
        <v>5.79</v>
      </c>
      <c r="G104" s="2" t="n">
        <v>6.36</v>
      </c>
      <c r="H104" s="3" t="n">
        <v>0.31</v>
      </c>
      <c r="I104" s="4"/>
      <c r="N104" s="2"/>
      <c r="O104" s="2"/>
      <c r="P104" s="2"/>
      <c r="Q104" s="2"/>
      <c r="S104" s="4"/>
    </row>
    <row r="105" customFormat="false" ht="14.25" hidden="false" customHeight="false" outlineLevel="0" collapsed="false">
      <c r="A105" s="1" t="s">
        <v>19</v>
      </c>
      <c r="B105" s="1" t="s">
        <v>12</v>
      </c>
      <c r="C105" s="1" t="n">
        <v>6</v>
      </c>
      <c r="D105" s="7" t="s">
        <v>11</v>
      </c>
      <c r="E105" s="2" t="n">
        <v>6.89</v>
      </c>
      <c r="F105" s="2" t="n">
        <v>5.39</v>
      </c>
      <c r="G105" s="2" t="n">
        <v>6.05</v>
      </c>
      <c r="H105" s="3" t="n">
        <v>0.4</v>
      </c>
      <c r="I105" s="4"/>
      <c r="N105" s="2"/>
      <c r="O105" s="2"/>
      <c r="P105" s="2"/>
      <c r="Q105" s="2"/>
      <c r="S105" s="4"/>
    </row>
    <row r="106" customFormat="false" ht="14.25" hidden="false" customHeight="false" outlineLevel="0" collapsed="false">
      <c r="A106" s="1" t="s">
        <v>19</v>
      </c>
      <c r="B106" s="1" t="s">
        <v>13</v>
      </c>
      <c r="C106" s="1" t="n">
        <v>6</v>
      </c>
      <c r="D106" s="7" t="s">
        <v>11</v>
      </c>
      <c r="E106" s="2" t="n">
        <v>6.19</v>
      </c>
      <c r="F106" s="2" t="n">
        <v>4.69</v>
      </c>
      <c r="G106" s="2" t="n">
        <v>5.28</v>
      </c>
      <c r="H106" s="3" t="n">
        <v>0.2</v>
      </c>
      <c r="I106" s="4"/>
      <c r="N106" s="2"/>
      <c r="O106" s="2"/>
      <c r="P106" s="2"/>
      <c r="Q106" s="2"/>
      <c r="S106" s="4"/>
    </row>
    <row r="107" customFormat="false" ht="14.25" hidden="false" customHeight="false" outlineLevel="0" collapsed="false">
      <c r="A107" s="1" t="s">
        <v>19</v>
      </c>
      <c r="B107" s="1" t="s">
        <v>14</v>
      </c>
      <c r="C107" s="1" t="n">
        <v>6</v>
      </c>
      <c r="D107" s="7" t="s">
        <v>11</v>
      </c>
      <c r="E107" s="2" t="n">
        <v>6.88</v>
      </c>
      <c r="F107" s="2" t="n">
        <v>5.84</v>
      </c>
      <c r="G107" s="2" t="n">
        <v>6.45</v>
      </c>
      <c r="H107" s="3" t="n">
        <v>0.16</v>
      </c>
      <c r="I107" s="4"/>
      <c r="N107" s="2"/>
      <c r="O107" s="2"/>
      <c r="P107" s="2"/>
      <c r="Q107" s="2"/>
      <c r="S107" s="4"/>
    </row>
    <row r="108" customFormat="false" ht="14.25" hidden="false" customHeight="false" outlineLevel="0" collapsed="false">
      <c r="A108" s="1" t="s">
        <v>19</v>
      </c>
      <c r="B108" s="1" t="s">
        <v>15</v>
      </c>
      <c r="C108" s="1" t="n">
        <v>6</v>
      </c>
      <c r="D108" s="7" t="s">
        <v>11</v>
      </c>
      <c r="E108" s="2" t="n">
        <v>6.97</v>
      </c>
      <c r="F108" s="2" t="n">
        <v>5.94</v>
      </c>
      <c r="G108" s="2" t="n">
        <v>6.57</v>
      </c>
      <c r="H108" s="3" t="n">
        <v>0.16</v>
      </c>
      <c r="I108" s="4"/>
      <c r="N108" s="2"/>
      <c r="O108" s="2"/>
      <c r="P108" s="2"/>
      <c r="Q108" s="2"/>
      <c r="S108" s="4"/>
    </row>
    <row r="109" customFormat="false" ht="14.25" hidden="false" customHeight="false" outlineLevel="0" collapsed="false">
      <c r="A109" s="1" t="s">
        <v>19</v>
      </c>
      <c r="B109" s="1" t="s">
        <v>16</v>
      </c>
      <c r="C109" s="1" t="n">
        <v>6</v>
      </c>
      <c r="D109" s="7" t="s">
        <v>17</v>
      </c>
      <c r="E109" s="2" t="n">
        <v>5.19</v>
      </c>
      <c r="F109" s="2" t="n">
        <v>4.85</v>
      </c>
      <c r="G109" s="2" t="n">
        <v>5.14</v>
      </c>
      <c r="H109" s="3" t="n">
        <v>0.07</v>
      </c>
      <c r="I109" s="4"/>
      <c r="N109" s="2"/>
      <c r="O109" s="2"/>
      <c r="P109" s="2"/>
      <c r="Q109" s="2"/>
      <c r="S109" s="4"/>
    </row>
    <row r="110" customFormat="false" ht="14.25" hidden="false" customHeight="false" outlineLevel="0" collapsed="false">
      <c r="A110" s="1" t="s">
        <v>20</v>
      </c>
      <c r="B110" s="1" t="s">
        <v>10</v>
      </c>
      <c r="C110" s="1" t="n">
        <v>1</v>
      </c>
      <c r="D110" s="7" t="s">
        <v>11</v>
      </c>
      <c r="E110" s="2" t="n">
        <v>6.89</v>
      </c>
      <c r="F110" s="2" t="n">
        <v>5.68</v>
      </c>
      <c r="G110" s="2" t="n">
        <v>6.05</v>
      </c>
      <c r="H110" s="3" t="n">
        <v>0.21</v>
      </c>
      <c r="I110" s="4" t="n">
        <f aca="false">(G116-G110)/G110</f>
        <v>0.0611570247933885</v>
      </c>
      <c r="N110" s="2"/>
      <c r="O110" s="2"/>
      <c r="P110" s="2"/>
      <c r="Q110" s="2"/>
      <c r="S110" s="4"/>
    </row>
    <row r="111" customFormat="false" ht="14.25" hidden="false" customHeight="false" outlineLevel="0" collapsed="false">
      <c r="A111" s="1" t="s">
        <v>20</v>
      </c>
      <c r="B111" s="1" t="s">
        <v>12</v>
      </c>
      <c r="C111" s="1" t="n">
        <v>1</v>
      </c>
      <c r="D111" s="7" t="s">
        <v>11</v>
      </c>
      <c r="E111" s="2" t="n">
        <v>7.07</v>
      </c>
      <c r="F111" s="2" t="n">
        <v>5.57</v>
      </c>
      <c r="G111" s="2" t="n">
        <v>6.06</v>
      </c>
      <c r="H111" s="3" t="n">
        <v>0.22</v>
      </c>
      <c r="I111" s="4" t="n">
        <f aca="false">(G117-G111)/G111</f>
        <v>0.0577557755775578</v>
      </c>
      <c r="N111" s="2"/>
      <c r="O111" s="2"/>
      <c r="P111" s="2"/>
      <c r="Q111" s="2"/>
      <c r="S111" s="4"/>
    </row>
    <row r="112" customFormat="false" ht="14.25" hidden="false" customHeight="false" outlineLevel="0" collapsed="false">
      <c r="A112" s="1" t="s">
        <v>20</v>
      </c>
      <c r="B112" s="1" t="s">
        <v>13</v>
      </c>
      <c r="C112" s="1" t="n">
        <v>1</v>
      </c>
      <c r="D112" s="7" t="s">
        <v>11</v>
      </c>
      <c r="E112" s="2" t="n">
        <v>5.59</v>
      </c>
      <c r="F112" s="2" t="n">
        <v>4.29</v>
      </c>
      <c r="G112" s="2" t="n">
        <v>4.83</v>
      </c>
      <c r="H112" s="3" t="n">
        <v>0.28</v>
      </c>
      <c r="I112" s="4" t="n">
        <f aca="false">(G118-G112)/G112</f>
        <v>0.0393374741200827</v>
      </c>
      <c r="N112" s="2"/>
      <c r="O112" s="2"/>
      <c r="P112" s="2"/>
      <c r="Q112" s="2"/>
      <c r="S112" s="4"/>
    </row>
    <row r="113" customFormat="false" ht="14.25" hidden="false" customHeight="false" outlineLevel="0" collapsed="false">
      <c r="A113" s="1" t="s">
        <v>20</v>
      </c>
      <c r="B113" s="1" t="s">
        <v>14</v>
      </c>
      <c r="C113" s="1" t="n">
        <v>1</v>
      </c>
      <c r="D113" s="7" t="s">
        <v>11</v>
      </c>
      <c r="E113" s="2" t="n">
        <v>6.99</v>
      </c>
      <c r="F113" s="2" t="n">
        <v>5.49</v>
      </c>
      <c r="G113" s="2" t="n">
        <v>6.16</v>
      </c>
      <c r="H113" s="3" t="n">
        <v>0.35</v>
      </c>
      <c r="I113" s="4" t="n">
        <f aca="false">(G119-G113)/G113</f>
        <v>0.0308441558441558</v>
      </c>
      <c r="N113" s="2"/>
      <c r="O113" s="2"/>
      <c r="P113" s="2"/>
      <c r="Q113" s="2"/>
      <c r="S113" s="4"/>
    </row>
    <row r="114" customFormat="false" ht="14.25" hidden="false" customHeight="false" outlineLevel="0" collapsed="false">
      <c r="A114" s="1" t="s">
        <v>20</v>
      </c>
      <c r="B114" s="1" t="s">
        <v>15</v>
      </c>
      <c r="C114" s="1" t="n">
        <v>1</v>
      </c>
      <c r="D114" s="7" t="s">
        <v>11</v>
      </c>
      <c r="E114" s="2" t="n">
        <v>7.37</v>
      </c>
      <c r="F114" s="2" t="n">
        <v>5.65</v>
      </c>
      <c r="G114" s="2" t="n">
        <v>6.26</v>
      </c>
      <c r="H114" s="3" t="n">
        <v>0.32</v>
      </c>
      <c r="I114" s="4" t="n">
        <f aca="false">(G120-G114)/G114</f>
        <v>0.0287539936102237</v>
      </c>
      <c r="N114" s="2"/>
      <c r="O114" s="2"/>
      <c r="P114" s="2"/>
      <c r="Q114" s="2"/>
      <c r="S114" s="4"/>
    </row>
    <row r="115" customFormat="false" ht="14.25" hidden="false" customHeight="false" outlineLevel="0" collapsed="false">
      <c r="A115" s="1" t="s">
        <v>20</v>
      </c>
      <c r="B115" s="1" t="s">
        <v>16</v>
      </c>
      <c r="C115" s="1" t="n">
        <v>1</v>
      </c>
      <c r="D115" s="7" t="s">
        <v>17</v>
      </c>
      <c r="I115" s="4"/>
      <c r="N115" s="2"/>
      <c r="O115" s="2"/>
      <c r="P115" s="2"/>
      <c r="Q115" s="2"/>
      <c r="S115" s="4"/>
    </row>
    <row r="116" customFormat="false" ht="14.25" hidden="false" customHeight="false" outlineLevel="0" collapsed="false">
      <c r="A116" s="1" t="s">
        <v>20</v>
      </c>
      <c r="B116" s="1" t="s">
        <v>10</v>
      </c>
      <c r="C116" s="1" t="n">
        <v>2</v>
      </c>
      <c r="D116" s="7" t="s">
        <v>11</v>
      </c>
      <c r="E116" s="2" t="n">
        <v>7.22</v>
      </c>
      <c r="F116" s="2" t="n">
        <v>5.75</v>
      </c>
      <c r="G116" s="2" t="n">
        <v>6.42</v>
      </c>
      <c r="H116" s="3" t="n">
        <v>0.28</v>
      </c>
      <c r="I116" s="4" t="n">
        <f aca="false">(G122-G116)/G116</f>
        <v>-0.00311526479750772</v>
      </c>
      <c r="N116" s="2"/>
      <c r="O116" s="2"/>
      <c r="P116" s="2"/>
      <c r="Q116" s="2"/>
      <c r="S116" s="4"/>
    </row>
    <row r="117" customFormat="false" ht="14.25" hidden="false" customHeight="false" outlineLevel="0" collapsed="false">
      <c r="A117" s="1" t="s">
        <v>20</v>
      </c>
      <c r="B117" s="1" t="s">
        <v>12</v>
      </c>
      <c r="C117" s="1" t="n">
        <v>2</v>
      </c>
      <c r="D117" s="7" t="s">
        <v>11</v>
      </c>
      <c r="E117" s="2" t="n">
        <v>7.44</v>
      </c>
      <c r="F117" s="2" t="n">
        <v>5.76</v>
      </c>
      <c r="G117" s="2" t="n">
        <v>6.41</v>
      </c>
      <c r="H117" s="3" t="n">
        <v>0.27</v>
      </c>
      <c r="I117" s="4" t="n">
        <f aca="false">(G123-G117)/G117</f>
        <v>-0.00312012480499227</v>
      </c>
      <c r="N117" s="2"/>
      <c r="O117" s="2"/>
      <c r="P117" s="2"/>
      <c r="Q117" s="2"/>
      <c r="S117" s="4"/>
    </row>
    <row r="118" customFormat="false" ht="14.25" hidden="false" customHeight="false" outlineLevel="0" collapsed="false">
      <c r="A118" s="1" t="s">
        <v>20</v>
      </c>
      <c r="B118" s="1" t="s">
        <v>13</v>
      </c>
      <c r="C118" s="1" t="n">
        <v>2</v>
      </c>
      <c r="D118" s="7" t="s">
        <v>11</v>
      </c>
      <c r="E118" s="2" t="n">
        <v>5.79</v>
      </c>
      <c r="F118" s="2" t="n">
        <v>4.39</v>
      </c>
      <c r="G118" s="2" t="n">
        <v>5.02</v>
      </c>
      <c r="H118" s="3" t="n">
        <v>0.29</v>
      </c>
      <c r="I118" s="4" t="n">
        <f aca="false">(G124-G118)/G118</f>
        <v>0.00398406374502001</v>
      </c>
      <c r="N118" s="2"/>
      <c r="O118" s="2"/>
      <c r="P118" s="2"/>
      <c r="Q118" s="2"/>
      <c r="S118" s="4"/>
    </row>
    <row r="119" customFormat="false" ht="14.25" hidden="false" customHeight="false" outlineLevel="0" collapsed="false">
      <c r="A119" s="1" t="s">
        <v>20</v>
      </c>
      <c r="B119" s="1" t="s">
        <v>14</v>
      </c>
      <c r="C119" s="1" t="n">
        <v>2</v>
      </c>
      <c r="D119" s="7" t="s">
        <v>11</v>
      </c>
      <c r="E119" s="2" t="n">
        <v>7.19</v>
      </c>
      <c r="F119" s="2" t="n">
        <v>5.75</v>
      </c>
      <c r="G119" s="2" t="n">
        <v>6.35</v>
      </c>
      <c r="H119" s="3" t="n">
        <v>0.35</v>
      </c>
      <c r="I119" s="4" t="n">
        <f aca="false">(G125-G119)/G119</f>
        <v>-0.00314960629921253</v>
      </c>
      <c r="N119" s="2"/>
      <c r="O119" s="2"/>
      <c r="P119" s="2"/>
      <c r="Q119" s="2"/>
      <c r="S119" s="4"/>
    </row>
    <row r="120" customFormat="false" ht="14.25" hidden="false" customHeight="false" outlineLevel="0" collapsed="false">
      <c r="A120" s="1" t="s">
        <v>20</v>
      </c>
      <c r="B120" s="1" t="s">
        <v>15</v>
      </c>
      <c r="C120" s="1" t="n">
        <v>2</v>
      </c>
      <c r="D120" s="7" t="s">
        <v>11</v>
      </c>
      <c r="E120" s="2" t="n">
        <v>7.37</v>
      </c>
      <c r="F120" s="2" t="n">
        <v>5.75</v>
      </c>
      <c r="G120" s="2" t="n">
        <v>6.44</v>
      </c>
      <c r="H120" s="3" t="n">
        <v>0.34</v>
      </c>
      <c r="I120" s="4" t="n">
        <f aca="false">(G126-G120)/G120</f>
        <v>0.00155279503105587</v>
      </c>
      <c r="N120" s="2"/>
      <c r="O120" s="2"/>
      <c r="P120" s="2"/>
      <c r="Q120" s="2"/>
      <c r="S120" s="4"/>
    </row>
    <row r="121" customFormat="false" ht="14.25" hidden="false" customHeight="false" outlineLevel="0" collapsed="false">
      <c r="A121" s="1" t="s">
        <v>20</v>
      </c>
      <c r="B121" s="1" t="s">
        <v>16</v>
      </c>
      <c r="C121" s="1" t="n">
        <v>2</v>
      </c>
      <c r="D121" s="7" t="s">
        <v>17</v>
      </c>
      <c r="I121" s="4"/>
      <c r="N121" s="2"/>
      <c r="O121" s="2"/>
      <c r="P121" s="2"/>
      <c r="Q121" s="2"/>
      <c r="S121" s="4"/>
    </row>
    <row r="122" customFormat="false" ht="14.25" hidden="false" customHeight="false" outlineLevel="0" collapsed="false">
      <c r="A122" s="1" t="s">
        <v>20</v>
      </c>
      <c r="B122" s="1" t="s">
        <v>10</v>
      </c>
      <c r="C122" s="1" t="n">
        <v>3</v>
      </c>
      <c r="D122" s="7" t="s">
        <v>11</v>
      </c>
      <c r="E122" s="2" t="n">
        <v>7.22</v>
      </c>
      <c r="F122" s="2" t="n">
        <v>5.78</v>
      </c>
      <c r="G122" s="2" t="n">
        <v>6.4</v>
      </c>
      <c r="H122" s="3" t="n">
        <v>0.32</v>
      </c>
      <c r="I122" s="4" t="n">
        <f aca="false">(G128-G122)/G122</f>
        <v>-0.0234375000000001</v>
      </c>
      <c r="N122" s="2"/>
      <c r="O122" s="2"/>
      <c r="P122" s="2"/>
      <c r="Q122" s="2"/>
      <c r="S122" s="4"/>
    </row>
    <row r="123" customFormat="false" ht="14.25" hidden="false" customHeight="false" outlineLevel="0" collapsed="false">
      <c r="A123" s="1" t="s">
        <v>20</v>
      </c>
      <c r="B123" s="1" t="s">
        <v>12</v>
      </c>
      <c r="C123" s="1" t="n">
        <v>3</v>
      </c>
      <c r="D123" s="7" t="s">
        <v>11</v>
      </c>
      <c r="E123" s="2" t="n">
        <v>7.44</v>
      </c>
      <c r="F123" s="2" t="n">
        <v>5.8</v>
      </c>
      <c r="G123" s="2" t="n">
        <v>6.39</v>
      </c>
      <c r="H123" s="3" t="n">
        <v>0.32</v>
      </c>
      <c r="I123" s="4" t="n">
        <f aca="false">(G129-G123)/G123</f>
        <v>-0.028169014084507</v>
      </c>
      <c r="N123" s="2"/>
      <c r="O123" s="2"/>
      <c r="P123" s="2"/>
      <c r="Q123" s="2"/>
      <c r="S123" s="4"/>
    </row>
    <row r="124" customFormat="false" ht="14.25" hidden="false" customHeight="false" outlineLevel="0" collapsed="false">
      <c r="A124" s="1" t="s">
        <v>20</v>
      </c>
      <c r="B124" s="1" t="s">
        <v>13</v>
      </c>
      <c r="C124" s="1" t="n">
        <v>3</v>
      </c>
      <c r="D124" s="7" t="s">
        <v>11</v>
      </c>
      <c r="E124" s="2" t="n">
        <v>5.79</v>
      </c>
      <c r="F124" s="2" t="n">
        <v>4.39</v>
      </c>
      <c r="G124" s="2" t="n">
        <v>5.04</v>
      </c>
      <c r="H124" s="3" t="n">
        <v>0.3</v>
      </c>
      <c r="I124" s="4" t="n">
        <f aca="false">(G130-G124)/G124</f>
        <v>-0.00396825396825406</v>
      </c>
      <c r="N124" s="2"/>
      <c r="O124" s="2"/>
      <c r="P124" s="2"/>
      <c r="Q124" s="2"/>
      <c r="S124" s="4"/>
    </row>
    <row r="125" customFormat="false" ht="14.25" hidden="false" customHeight="false" outlineLevel="0" collapsed="false">
      <c r="A125" s="1" t="s">
        <v>20</v>
      </c>
      <c r="B125" s="1" t="s">
        <v>14</v>
      </c>
      <c r="C125" s="1" t="n">
        <v>3</v>
      </c>
      <c r="D125" s="7" t="s">
        <v>11</v>
      </c>
      <c r="E125" s="2" t="n">
        <v>7.19</v>
      </c>
      <c r="F125" s="2" t="n">
        <v>5.68</v>
      </c>
      <c r="G125" s="2" t="n">
        <v>6.33</v>
      </c>
      <c r="H125" s="3" t="n">
        <v>0.4</v>
      </c>
      <c r="I125" s="4" t="n">
        <f aca="false">(G131-G125)/G125</f>
        <v>-0.0173775671406004</v>
      </c>
      <c r="N125" s="2"/>
      <c r="O125" s="2"/>
      <c r="P125" s="2"/>
      <c r="Q125" s="2"/>
      <c r="S125" s="4"/>
    </row>
    <row r="126" customFormat="false" ht="14.25" hidden="false" customHeight="false" outlineLevel="0" collapsed="false">
      <c r="A126" s="1" t="s">
        <v>20</v>
      </c>
      <c r="B126" s="1" t="s">
        <v>15</v>
      </c>
      <c r="C126" s="1" t="n">
        <v>3</v>
      </c>
      <c r="D126" s="7" t="s">
        <v>11</v>
      </c>
      <c r="E126" s="2" t="n">
        <v>7.37</v>
      </c>
      <c r="F126" s="2" t="n">
        <v>5.68</v>
      </c>
      <c r="G126" s="2" t="n">
        <v>6.45</v>
      </c>
      <c r="H126" s="3" t="n">
        <v>0.39</v>
      </c>
      <c r="I126" s="4" t="n">
        <f aca="false">(G132-G126)/G126</f>
        <v>-0.0155038759689923</v>
      </c>
      <c r="N126" s="2"/>
      <c r="O126" s="2"/>
      <c r="P126" s="2"/>
      <c r="Q126" s="2"/>
      <c r="S126" s="4"/>
    </row>
    <row r="127" customFormat="false" ht="14.25" hidden="false" customHeight="false" outlineLevel="0" collapsed="false">
      <c r="A127" s="1" t="s">
        <v>20</v>
      </c>
      <c r="B127" s="1" t="s">
        <v>16</v>
      </c>
      <c r="C127" s="1" t="n">
        <v>3</v>
      </c>
      <c r="D127" s="7" t="s">
        <v>17</v>
      </c>
      <c r="I127" s="4"/>
      <c r="N127" s="2"/>
      <c r="O127" s="2"/>
      <c r="P127" s="2"/>
      <c r="Q127" s="2"/>
      <c r="S127" s="4"/>
    </row>
    <row r="128" customFormat="false" ht="14.25" hidden="false" customHeight="false" outlineLevel="0" collapsed="false">
      <c r="A128" s="1" t="s">
        <v>20</v>
      </c>
      <c r="B128" s="1" t="s">
        <v>10</v>
      </c>
      <c r="C128" s="1" t="n">
        <v>4</v>
      </c>
      <c r="D128" s="7" t="s">
        <v>11</v>
      </c>
      <c r="E128" s="2" t="n">
        <v>7.09</v>
      </c>
      <c r="F128" s="2" t="n">
        <v>5.5</v>
      </c>
      <c r="G128" s="2" t="n">
        <v>6.25</v>
      </c>
      <c r="H128" s="3" t="n">
        <v>0.4</v>
      </c>
      <c r="I128" s="4" t="n">
        <f aca="false">(G134-G128)/G128</f>
        <v>-0.0159999999999999</v>
      </c>
      <c r="N128" s="2"/>
      <c r="O128" s="2"/>
      <c r="P128" s="2"/>
      <c r="Q128" s="2"/>
      <c r="S128" s="4"/>
    </row>
    <row r="129" customFormat="false" ht="14.25" hidden="false" customHeight="false" outlineLevel="0" collapsed="false">
      <c r="A129" s="1" t="s">
        <v>20</v>
      </c>
      <c r="B129" s="1" t="s">
        <v>12</v>
      </c>
      <c r="C129" s="1" t="n">
        <v>4</v>
      </c>
      <c r="D129" s="7" t="s">
        <v>11</v>
      </c>
      <c r="E129" s="2" t="n">
        <v>7.09</v>
      </c>
      <c r="F129" s="2" t="n">
        <v>5.54</v>
      </c>
      <c r="G129" s="2" t="n">
        <v>6.21</v>
      </c>
      <c r="H129" s="3" t="n">
        <v>0.4</v>
      </c>
      <c r="I129" s="4" t="n">
        <f aca="false">(G135-G129)/G129</f>
        <v>-0.0193236714975846</v>
      </c>
      <c r="N129" s="2"/>
      <c r="O129" s="2"/>
      <c r="P129" s="2"/>
      <c r="Q129" s="2"/>
      <c r="S129" s="4"/>
    </row>
    <row r="130" customFormat="false" ht="14.25" hidden="false" customHeight="false" outlineLevel="0" collapsed="false">
      <c r="A130" s="1" t="s">
        <v>20</v>
      </c>
      <c r="B130" s="1" t="s">
        <v>13</v>
      </c>
      <c r="C130" s="1" t="n">
        <v>4</v>
      </c>
      <c r="D130" s="7" t="s">
        <v>11</v>
      </c>
      <c r="E130" s="2" t="n">
        <v>5.79</v>
      </c>
      <c r="F130" s="2" t="n">
        <v>4.26</v>
      </c>
      <c r="G130" s="2" t="n">
        <v>5.02</v>
      </c>
      <c r="H130" s="3" t="n">
        <v>0.35</v>
      </c>
      <c r="I130" s="4" t="n">
        <f aca="false">(G136-G130)/G130</f>
        <v>-0.00796812749003967</v>
      </c>
      <c r="N130" s="2"/>
      <c r="O130" s="2"/>
      <c r="P130" s="2"/>
      <c r="Q130" s="2"/>
      <c r="S130" s="4"/>
    </row>
    <row r="131" customFormat="false" ht="14.25" hidden="false" customHeight="false" outlineLevel="0" collapsed="false">
      <c r="A131" s="1" t="s">
        <v>20</v>
      </c>
      <c r="B131" s="1" t="s">
        <v>14</v>
      </c>
      <c r="C131" s="1" t="n">
        <v>4</v>
      </c>
      <c r="D131" s="7" t="s">
        <v>11</v>
      </c>
      <c r="E131" s="2" t="n">
        <v>7.19</v>
      </c>
      <c r="F131" s="2" t="n">
        <v>5.37</v>
      </c>
      <c r="G131" s="2" t="n">
        <v>6.22</v>
      </c>
      <c r="H131" s="3" t="n">
        <v>0.47</v>
      </c>
      <c r="I131" s="4" t="n">
        <f aca="false">(G137-G131)/G131</f>
        <v>-0.0096463022508038</v>
      </c>
      <c r="N131" s="2"/>
      <c r="O131" s="2"/>
      <c r="P131" s="2"/>
      <c r="Q131" s="2"/>
      <c r="S131" s="4"/>
    </row>
    <row r="132" customFormat="false" ht="14.25" hidden="false" customHeight="false" outlineLevel="0" collapsed="false">
      <c r="A132" s="1" t="s">
        <v>20</v>
      </c>
      <c r="B132" s="1" t="s">
        <v>15</v>
      </c>
      <c r="C132" s="1" t="n">
        <v>4</v>
      </c>
      <c r="D132" s="7" t="s">
        <v>11</v>
      </c>
      <c r="E132" s="2" t="n">
        <v>7.37</v>
      </c>
      <c r="F132" s="2" t="n">
        <v>5.49</v>
      </c>
      <c r="G132" s="2" t="n">
        <v>6.35</v>
      </c>
      <c r="H132" s="3" t="n">
        <v>0.43</v>
      </c>
      <c r="I132" s="4" t="n">
        <f aca="false">(G138-G132)/G132</f>
        <v>-0.00944881889763773</v>
      </c>
      <c r="N132" s="2"/>
      <c r="O132" s="2"/>
      <c r="P132" s="2"/>
      <c r="Q132" s="2"/>
      <c r="S132" s="4"/>
    </row>
    <row r="133" customFormat="false" ht="14.25" hidden="false" customHeight="false" outlineLevel="0" collapsed="false">
      <c r="A133" s="1" t="s">
        <v>20</v>
      </c>
      <c r="B133" s="1" t="s">
        <v>16</v>
      </c>
      <c r="C133" s="1" t="n">
        <v>4</v>
      </c>
      <c r="D133" s="7" t="s">
        <v>17</v>
      </c>
      <c r="I133" s="4"/>
      <c r="N133" s="2"/>
      <c r="O133" s="2"/>
      <c r="P133" s="2"/>
      <c r="Q133" s="2"/>
      <c r="S133" s="4"/>
    </row>
    <row r="134" customFormat="false" ht="14.25" hidden="false" customHeight="false" outlineLevel="0" collapsed="false">
      <c r="A134" s="1" t="s">
        <v>20</v>
      </c>
      <c r="B134" s="1" t="s">
        <v>10</v>
      </c>
      <c r="C134" s="1" t="n">
        <v>5</v>
      </c>
      <c r="D134" s="7" t="s">
        <v>11</v>
      </c>
      <c r="E134" s="2" t="n">
        <v>7.09</v>
      </c>
      <c r="F134" s="2" t="n">
        <v>5.29</v>
      </c>
      <c r="G134" s="2" t="n">
        <v>6.15</v>
      </c>
      <c r="H134" s="3" t="n">
        <v>0.4</v>
      </c>
      <c r="I134" s="4" t="n">
        <f aca="false">(G140-G134)/G134</f>
        <v>-0.0260162601626016</v>
      </c>
      <c r="N134" s="2"/>
      <c r="O134" s="2"/>
      <c r="P134" s="2"/>
      <c r="Q134" s="2"/>
      <c r="S134" s="4"/>
    </row>
    <row r="135" customFormat="false" ht="14.25" hidden="false" customHeight="false" outlineLevel="0" collapsed="false">
      <c r="A135" s="1" t="s">
        <v>20</v>
      </c>
      <c r="B135" s="1" t="s">
        <v>12</v>
      </c>
      <c r="C135" s="1" t="n">
        <v>5</v>
      </c>
      <c r="D135" s="7" t="s">
        <v>11</v>
      </c>
      <c r="E135" s="2" t="n">
        <v>7.09</v>
      </c>
      <c r="F135" s="2" t="n">
        <v>5.33</v>
      </c>
      <c r="G135" s="2" t="n">
        <v>6.09</v>
      </c>
      <c r="H135" s="3" t="n">
        <v>0.4</v>
      </c>
      <c r="I135" s="4" t="n">
        <f aca="false">(G141-G135)/G135</f>
        <v>-0.0180623973727421</v>
      </c>
      <c r="N135" s="2"/>
      <c r="O135" s="2"/>
      <c r="P135" s="2"/>
      <c r="Q135" s="2"/>
      <c r="S135" s="4"/>
    </row>
    <row r="136" customFormat="false" ht="14.25" hidden="false" customHeight="false" outlineLevel="0" collapsed="false">
      <c r="A136" s="1" t="s">
        <v>20</v>
      </c>
      <c r="B136" s="1" t="s">
        <v>13</v>
      </c>
      <c r="C136" s="1" t="n">
        <v>5</v>
      </c>
      <c r="D136" s="7" t="s">
        <v>11</v>
      </c>
      <c r="E136" s="2" t="n">
        <v>5.79</v>
      </c>
      <c r="F136" s="2" t="n">
        <v>4.29</v>
      </c>
      <c r="G136" s="2" t="n">
        <v>4.98</v>
      </c>
      <c r="H136" s="3" t="n">
        <v>0.39</v>
      </c>
      <c r="I136" s="4" t="n">
        <f aca="false">(G142-G136)/G136</f>
        <v>-0.00401606425702821</v>
      </c>
      <c r="N136" s="2"/>
      <c r="O136" s="2"/>
      <c r="P136" s="2"/>
      <c r="Q136" s="2"/>
      <c r="S136" s="4"/>
    </row>
    <row r="137" customFormat="false" ht="14.25" hidden="false" customHeight="false" outlineLevel="0" collapsed="false">
      <c r="A137" s="1" t="s">
        <v>20</v>
      </c>
      <c r="B137" s="1" t="s">
        <v>14</v>
      </c>
      <c r="C137" s="1" t="n">
        <v>5</v>
      </c>
      <c r="D137" s="7" t="s">
        <v>11</v>
      </c>
      <c r="E137" s="2" t="n">
        <v>7.19</v>
      </c>
      <c r="F137" s="2" t="n">
        <v>5.45</v>
      </c>
      <c r="G137" s="2" t="n">
        <v>6.16</v>
      </c>
      <c r="H137" s="3" t="n">
        <v>0.44</v>
      </c>
      <c r="I137" s="4" t="n">
        <f aca="false">(G143-G137)/G137</f>
        <v>-0.00974025974025982</v>
      </c>
      <c r="N137" s="2"/>
      <c r="O137" s="2"/>
      <c r="P137" s="2"/>
      <c r="Q137" s="2"/>
      <c r="S137" s="4"/>
    </row>
    <row r="138" customFormat="false" ht="14.25" hidden="false" customHeight="false" outlineLevel="0" collapsed="false">
      <c r="A138" s="1" t="s">
        <v>20</v>
      </c>
      <c r="B138" s="1" t="s">
        <v>15</v>
      </c>
      <c r="C138" s="1" t="n">
        <v>5</v>
      </c>
      <c r="D138" s="7" t="s">
        <v>11</v>
      </c>
      <c r="E138" s="2" t="n">
        <v>7.37</v>
      </c>
      <c r="F138" s="2" t="n">
        <v>5.45</v>
      </c>
      <c r="G138" s="2" t="n">
        <v>6.29</v>
      </c>
      <c r="H138" s="3" t="n">
        <v>0.43</v>
      </c>
      <c r="I138" s="4" t="n">
        <f aca="false">(G144-G138)/G138</f>
        <v>-0.00794912559618439</v>
      </c>
      <c r="N138" s="2"/>
      <c r="O138" s="2"/>
      <c r="P138" s="2"/>
      <c r="Q138" s="2"/>
      <c r="S138" s="4"/>
    </row>
    <row r="139" customFormat="false" ht="14.25" hidden="false" customHeight="false" outlineLevel="0" collapsed="false">
      <c r="A139" s="1" t="s">
        <v>20</v>
      </c>
      <c r="B139" s="1" t="s">
        <v>16</v>
      </c>
      <c r="C139" s="1" t="n">
        <v>5</v>
      </c>
      <c r="D139" s="7" t="s">
        <v>17</v>
      </c>
      <c r="I139" s="4"/>
      <c r="N139" s="2"/>
      <c r="O139" s="2"/>
      <c r="P139" s="2"/>
      <c r="Q139" s="2"/>
      <c r="S139" s="4"/>
    </row>
    <row r="140" customFormat="false" ht="14.25" hidden="false" customHeight="false" outlineLevel="0" collapsed="false">
      <c r="A140" s="1" t="s">
        <v>20</v>
      </c>
      <c r="B140" s="1" t="s">
        <v>10</v>
      </c>
      <c r="C140" s="1" t="n">
        <v>6</v>
      </c>
      <c r="D140" s="7" t="s">
        <v>11</v>
      </c>
      <c r="E140" s="2" t="n">
        <v>6.69</v>
      </c>
      <c r="F140" s="2" t="n">
        <v>5.29</v>
      </c>
      <c r="G140" s="2" t="n">
        <v>5.99</v>
      </c>
      <c r="H140" s="3" t="n">
        <v>0.37</v>
      </c>
      <c r="I140" s="4"/>
      <c r="N140" s="2"/>
      <c r="O140" s="2"/>
      <c r="P140" s="2"/>
      <c r="Q140" s="2"/>
      <c r="S140" s="4"/>
    </row>
    <row r="141" customFormat="false" ht="14.25" hidden="false" customHeight="false" outlineLevel="0" collapsed="false">
      <c r="A141" s="1" t="s">
        <v>20</v>
      </c>
      <c r="B141" s="1" t="s">
        <v>12</v>
      </c>
      <c r="C141" s="1" t="n">
        <v>6</v>
      </c>
      <c r="D141" s="7" t="s">
        <v>11</v>
      </c>
      <c r="E141" s="2" t="n">
        <v>6.99</v>
      </c>
      <c r="F141" s="2" t="n">
        <v>5.33</v>
      </c>
      <c r="G141" s="2" t="n">
        <v>5.98</v>
      </c>
      <c r="H141" s="3" t="n">
        <v>0.38</v>
      </c>
      <c r="I141" s="4"/>
      <c r="N141" s="2"/>
      <c r="O141" s="2"/>
      <c r="P141" s="2"/>
      <c r="Q141" s="2"/>
      <c r="S141" s="4"/>
    </row>
    <row r="142" customFormat="false" ht="14.25" hidden="false" customHeight="false" outlineLevel="0" collapsed="false">
      <c r="A142" s="1" t="s">
        <v>20</v>
      </c>
      <c r="B142" s="1" t="s">
        <v>13</v>
      </c>
      <c r="C142" s="1" t="n">
        <v>6</v>
      </c>
      <c r="D142" s="7" t="s">
        <v>11</v>
      </c>
      <c r="E142" s="2" t="n">
        <v>5.79</v>
      </c>
      <c r="F142" s="2" t="n">
        <v>4.28</v>
      </c>
      <c r="G142" s="2" t="n">
        <v>4.96</v>
      </c>
      <c r="H142" s="3" t="n">
        <v>0.4</v>
      </c>
      <c r="I142" s="4"/>
      <c r="N142" s="2"/>
      <c r="O142" s="2"/>
      <c r="P142" s="2"/>
      <c r="Q142" s="2"/>
      <c r="S142" s="4"/>
    </row>
    <row r="143" customFormat="false" ht="14.25" hidden="false" customHeight="false" outlineLevel="0" collapsed="false">
      <c r="A143" s="1" t="s">
        <v>20</v>
      </c>
      <c r="B143" s="1" t="s">
        <v>14</v>
      </c>
      <c r="C143" s="1" t="n">
        <v>6</v>
      </c>
      <c r="D143" s="7" t="s">
        <v>11</v>
      </c>
      <c r="E143" s="2" t="n">
        <v>7.09</v>
      </c>
      <c r="F143" s="2" t="n">
        <v>5.39</v>
      </c>
      <c r="G143" s="2" t="n">
        <v>6.1</v>
      </c>
      <c r="H143" s="3" t="n">
        <v>0.43</v>
      </c>
      <c r="I143" s="4"/>
      <c r="N143" s="2"/>
      <c r="O143" s="2"/>
      <c r="P143" s="2"/>
      <c r="Q143" s="2"/>
      <c r="S143" s="4"/>
    </row>
    <row r="144" customFormat="false" ht="14.25" hidden="false" customHeight="false" outlineLevel="0" collapsed="false">
      <c r="A144" s="1" t="s">
        <v>20</v>
      </c>
      <c r="B144" s="1" t="s">
        <v>15</v>
      </c>
      <c r="C144" s="1" t="n">
        <v>6</v>
      </c>
      <c r="D144" s="7" t="s">
        <v>11</v>
      </c>
      <c r="E144" s="2" t="n">
        <v>7.29</v>
      </c>
      <c r="F144" s="2" t="n">
        <v>5.45</v>
      </c>
      <c r="G144" s="2" t="n">
        <v>6.24</v>
      </c>
      <c r="H144" s="3" t="n">
        <v>0.43</v>
      </c>
      <c r="I144" s="4"/>
      <c r="N144" s="2"/>
      <c r="O144" s="2"/>
      <c r="P144" s="2"/>
      <c r="Q144" s="2"/>
      <c r="S144" s="4"/>
    </row>
    <row r="145" customFormat="false" ht="14.25" hidden="false" customHeight="false" outlineLevel="0" collapsed="false">
      <c r="A145" s="1" t="s">
        <v>20</v>
      </c>
      <c r="B145" s="1" t="s">
        <v>16</v>
      </c>
      <c r="C145" s="1" t="n">
        <v>6</v>
      </c>
      <c r="D145" s="7" t="s">
        <v>17</v>
      </c>
      <c r="I145" s="4"/>
      <c r="N145" s="2"/>
      <c r="O145" s="2"/>
      <c r="P145" s="2"/>
      <c r="Q145" s="2"/>
      <c r="S145" s="4"/>
    </row>
    <row r="146" customFormat="false" ht="14.25" hidden="false" customHeight="false" outlineLevel="0" collapsed="false">
      <c r="A146" s="1" t="s">
        <v>21</v>
      </c>
      <c r="B146" s="1" t="s">
        <v>10</v>
      </c>
      <c r="C146" s="1" t="n">
        <v>1</v>
      </c>
      <c r="D146" s="7" t="s">
        <v>11</v>
      </c>
      <c r="E146" s="2" t="n">
        <v>6.49</v>
      </c>
      <c r="F146" s="2" t="n">
        <v>5.65</v>
      </c>
      <c r="G146" s="2" t="n">
        <v>6.03</v>
      </c>
      <c r="H146" s="3" t="n">
        <v>0.17</v>
      </c>
      <c r="I146" s="4" t="n">
        <f aca="false">(G152-G146)/G146</f>
        <v>0.0480928689883914</v>
      </c>
      <c r="N146" s="2"/>
      <c r="O146" s="2"/>
      <c r="P146" s="2"/>
      <c r="Q146" s="2"/>
      <c r="S146" s="4"/>
    </row>
    <row r="147" customFormat="false" ht="14.25" hidden="false" customHeight="false" outlineLevel="0" collapsed="false">
      <c r="A147" s="1" t="s">
        <v>21</v>
      </c>
      <c r="B147" s="1" t="s">
        <v>12</v>
      </c>
      <c r="C147" s="1" t="n">
        <v>1</v>
      </c>
      <c r="D147" s="7" t="s">
        <v>11</v>
      </c>
      <c r="E147" s="2" t="n">
        <v>6.79</v>
      </c>
      <c r="F147" s="2" t="n">
        <v>5.77</v>
      </c>
      <c r="G147" s="2" t="n">
        <v>6.08</v>
      </c>
      <c r="H147" s="3" t="n">
        <v>0.18</v>
      </c>
      <c r="I147" s="4" t="n">
        <f aca="false">(G153-G147)/G147</f>
        <v>0.0427631578947368</v>
      </c>
      <c r="N147" s="2"/>
      <c r="O147" s="2"/>
      <c r="P147" s="2"/>
      <c r="Q147" s="2"/>
      <c r="S147" s="4"/>
    </row>
    <row r="148" customFormat="false" ht="14.25" hidden="false" customHeight="false" outlineLevel="0" collapsed="false">
      <c r="A148" s="1" t="s">
        <v>21</v>
      </c>
      <c r="B148" s="1" t="s">
        <v>13</v>
      </c>
      <c r="C148" s="1" t="n">
        <v>1</v>
      </c>
      <c r="D148" s="7" t="s">
        <v>11</v>
      </c>
      <c r="E148" s="2" t="n">
        <v>4.99</v>
      </c>
      <c r="F148" s="2" t="n">
        <v>3.88</v>
      </c>
      <c r="G148" s="2" t="n">
        <v>4.29</v>
      </c>
      <c r="H148" s="3" t="n">
        <v>0.26</v>
      </c>
      <c r="I148" s="4" t="n">
        <f aca="false">(G154-G148)/G148</f>
        <v>0.0815850815850815</v>
      </c>
      <c r="N148" s="2"/>
      <c r="O148" s="2"/>
      <c r="P148" s="2"/>
      <c r="Q148" s="2"/>
      <c r="S148" s="4"/>
    </row>
    <row r="149" customFormat="false" ht="14.25" hidden="false" customHeight="false" outlineLevel="0" collapsed="false">
      <c r="A149" s="1" t="s">
        <v>21</v>
      </c>
      <c r="B149" s="1" t="s">
        <v>14</v>
      </c>
      <c r="C149" s="1" t="n">
        <v>1</v>
      </c>
      <c r="D149" s="7" t="s">
        <v>11</v>
      </c>
      <c r="E149" s="2" t="n">
        <v>6.89</v>
      </c>
      <c r="F149" s="2" t="n">
        <v>5.79</v>
      </c>
      <c r="G149" s="2" t="n">
        <v>6.05</v>
      </c>
      <c r="H149" s="3" t="n">
        <v>0.16</v>
      </c>
      <c r="I149" s="4" t="n">
        <f aca="false">(G155-G149)/G149</f>
        <v>0.0363636363636363</v>
      </c>
      <c r="N149" s="2"/>
      <c r="O149" s="2"/>
      <c r="P149" s="2"/>
      <c r="Q149" s="2"/>
      <c r="S149" s="4"/>
    </row>
    <row r="150" customFormat="false" ht="14.25" hidden="false" customHeight="false" outlineLevel="0" collapsed="false">
      <c r="A150" s="1" t="s">
        <v>21</v>
      </c>
      <c r="B150" s="1" t="s">
        <v>15</v>
      </c>
      <c r="C150" s="1" t="n">
        <v>1</v>
      </c>
      <c r="D150" s="7" t="s">
        <v>11</v>
      </c>
      <c r="E150" s="2" t="n">
        <v>6.47</v>
      </c>
      <c r="F150" s="2" t="n">
        <v>5.79</v>
      </c>
      <c r="G150" s="2" t="n">
        <v>6.17</v>
      </c>
      <c r="H150" s="3" t="n">
        <v>0.16</v>
      </c>
      <c r="I150" s="4" t="n">
        <f aca="false">(G156-G150)/G150</f>
        <v>0.0372771474878445</v>
      </c>
      <c r="N150" s="2"/>
      <c r="O150" s="2"/>
      <c r="P150" s="2"/>
      <c r="Q150" s="2"/>
      <c r="S150" s="4"/>
    </row>
    <row r="151" customFormat="false" ht="14.25" hidden="false" customHeight="false" outlineLevel="0" collapsed="false">
      <c r="A151" s="1" t="s">
        <v>21</v>
      </c>
      <c r="B151" s="1" t="s">
        <v>16</v>
      </c>
      <c r="C151" s="1" t="n">
        <v>1</v>
      </c>
      <c r="D151" s="7" t="s">
        <v>17</v>
      </c>
      <c r="E151" s="2" t="n">
        <v>5.98</v>
      </c>
      <c r="F151" s="2" t="n">
        <v>4.99</v>
      </c>
      <c r="G151" s="2" t="n">
        <v>5.17</v>
      </c>
      <c r="H151" s="3" t="n">
        <v>0.24</v>
      </c>
      <c r="I151" s="4" t="n">
        <f aca="false">(G157-G151)/G151</f>
        <v>-0.00193423597678913</v>
      </c>
      <c r="N151" s="2"/>
      <c r="O151" s="2"/>
      <c r="P151" s="2"/>
      <c r="Q151" s="2"/>
      <c r="S151" s="4"/>
    </row>
    <row r="152" customFormat="false" ht="14.25" hidden="false" customHeight="false" outlineLevel="0" collapsed="false">
      <c r="A152" s="1" t="s">
        <v>21</v>
      </c>
      <c r="B152" s="1" t="s">
        <v>10</v>
      </c>
      <c r="C152" s="1" t="n">
        <v>2</v>
      </c>
      <c r="D152" s="7" t="s">
        <v>11</v>
      </c>
      <c r="E152" s="2" t="n">
        <v>6.99</v>
      </c>
      <c r="F152" s="2" t="n">
        <v>5.58</v>
      </c>
      <c r="G152" s="2" t="n">
        <v>6.32</v>
      </c>
      <c r="H152" s="3" t="n">
        <v>0.19</v>
      </c>
      <c r="I152" s="4" t="n">
        <f aca="false">(G158-G152)/G152</f>
        <v>-0.00474683544303801</v>
      </c>
      <c r="N152" s="2"/>
      <c r="O152" s="2"/>
      <c r="P152" s="2"/>
      <c r="Q152" s="2"/>
      <c r="S152" s="4"/>
    </row>
    <row r="153" customFormat="false" ht="14.25" hidden="false" customHeight="false" outlineLevel="0" collapsed="false">
      <c r="A153" s="1" t="s">
        <v>21</v>
      </c>
      <c r="B153" s="1" t="s">
        <v>12</v>
      </c>
      <c r="C153" s="1" t="n">
        <v>2</v>
      </c>
      <c r="D153" s="7" t="s">
        <v>11</v>
      </c>
      <c r="E153" s="2" t="n">
        <v>6.79</v>
      </c>
      <c r="F153" s="2" t="n">
        <v>5.68</v>
      </c>
      <c r="G153" s="2" t="n">
        <v>6.34</v>
      </c>
      <c r="H153" s="3" t="n">
        <v>0.16</v>
      </c>
      <c r="I153" s="4" t="n">
        <f aca="false">(G159-G153)/G153</f>
        <v>-0.00157728706624602</v>
      </c>
      <c r="N153" s="2"/>
      <c r="O153" s="2"/>
      <c r="P153" s="2"/>
      <c r="Q153" s="2"/>
      <c r="S153" s="4"/>
    </row>
    <row r="154" customFormat="false" ht="14.25" hidden="false" customHeight="false" outlineLevel="0" collapsed="false">
      <c r="A154" s="1" t="s">
        <v>21</v>
      </c>
      <c r="B154" s="1" t="s">
        <v>13</v>
      </c>
      <c r="C154" s="1" t="n">
        <v>2</v>
      </c>
      <c r="D154" s="7" t="s">
        <v>11</v>
      </c>
      <c r="E154" s="2" t="n">
        <v>4.99</v>
      </c>
      <c r="F154" s="2" t="n">
        <v>4.29</v>
      </c>
      <c r="G154" s="2" t="n">
        <v>4.64</v>
      </c>
      <c r="H154" s="3" t="n">
        <v>0.12</v>
      </c>
      <c r="I154" s="4" t="n">
        <f aca="false">(G160-G154)/G154</f>
        <v>0</v>
      </c>
      <c r="N154" s="2"/>
      <c r="O154" s="2"/>
      <c r="P154" s="2"/>
      <c r="Q154" s="2"/>
      <c r="S154" s="4"/>
    </row>
    <row r="155" customFormat="false" ht="14.25" hidden="false" customHeight="false" outlineLevel="0" collapsed="false">
      <c r="A155" s="1" t="s">
        <v>21</v>
      </c>
      <c r="B155" s="1" t="s">
        <v>14</v>
      </c>
      <c r="C155" s="1" t="n">
        <v>2</v>
      </c>
      <c r="D155" s="7" t="s">
        <v>11</v>
      </c>
      <c r="E155" s="2" t="n">
        <v>6.49</v>
      </c>
      <c r="F155" s="2" t="n">
        <v>5.99</v>
      </c>
      <c r="G155" s="2" t="n">
        <v>6.27</v>
      </c>
      <c r="H155" s="3" t="n">
        <v>0.08</v>
      </c>
      <c r="I155" s="4" t="n">
        <f aca="false">(G161-G155)/G155</f>
        <v>-0.0015948963317384</v>
      </c>
      <c r="N155" s="2"/>
      <c r="O155" s="2"/>
      <c r="P155" s="2"/>
      <c r="Q155" s="2"/>
      <c r="S155" s="4"/>
    </row>
    <row r="156" customFormat="false" ht="14.25" hidden="false" customHeight="false" outlineLevel="0" collapsed="false">
      <c r="A156" s="1" t="s">
        <v>21</v>
      </c>
      <c r="B156" s="1" t="s">
        <v>15</v>
      </c>
      <c r="C156" s="1" t="n">
        <v>2</v>
      </c>
      <c r="D156" s="7" t="s">
        <v>11</v>
      </c>
      <c r="E156" s="2" t="n">
        <v>6.69</v>
      </c>
      <c r="F156" s="2" t="n">
        <v>6.09</v>
      </c>
      <c r="G156" s="2" t="n">
        <v>6.4</v>
      </c>
      <c r="H156" s="3" t="n">
        <v>0.13</v>
      </c>
      <c r="I156" s="4" t="n">
        <f aca="false">(G162-G156)/G156</f>
        <v>-0.00156250000000011</v>
      </c>
      <c r="N156" s="2"/>
      <c r="O156" s="2"/>
      <c r="P156" s="2"/>
      <c r="Q156" s="2"/>
      <c r="S156" s="4"/>
    </row>
    <row r="157" customFormat="false" ht="14.25" hidden="false" customHeight="false" outlineLevel="0" collapsed="false">
      <c r="A157" s="1" t="s">
        <v>21</v>
      </c>
      <c r="B157" s="1" t="s">
        <v>16</v>
      </c>
      <c r="C157" s="1" t="n">
        <v>2</v>
      </c>
      <c r="D157" s="7" t="s">
        <v>17</v>
      </c>
      <c r="E157" s="2" t="n">
        <v>5.98</v>
      </c>
      <c r="F157" s="2" t="n">
        <v>4.99</v>
      </c>
      <c r="G157" s="2" t="n">
        <v>5.16</v>
      </c>
      <c r="H157" s="3" t="n">
        <v>0.28</v>
      </c>
      <c r="I157" s="4" t="n">
        <f aca="false">(G163-G157)/G157</f>
        <v>-0.00581395348837214</v>
      </c>
      <c r="N157" s="2"/>
      <c r="O157" s="2"/>
      <c r="P157" s="2"/>
      <c r="Q157" s="2"/>
      <c r="S157" s="4"/>
    </row>
    <row r="158" customFormat="false" ht="14.25" hidden="false" customHeight="false" outlineLevel="0" collapsed="false">
      <c r="A158" s="1" t="s">
        <v>21</v>
      </c>
      <c r="B158" s="1" t="s">
        <v>10</v>
      </c>
      <c r="C158" s="1" t="n">
        <v>3</v>
      </c>
      <c r="D158" s="7" t="s">
        <v>11</v>
      </c>
      <c r="E158" s="2" t="n">
        <v>6.69</v>
      </c>
      <c r="F158" s="2" t="n">
        <v>5.95</v>
      </c>
      <c r="G158" s="2" t="n">
        <v>6.29</v>
      </c>
      <c r="H158" s="3" t="n">
        <v>0.19</v>
      </c>
      <c r="I158" s="4" t="n">
        <f aca="false">(G164-G158)/G158</f>
        <v>-0.0238473767885533</v>
      </c>
      <c r="N158" s="2"/>
      <c r="O158" s="2"/>
      <c r="P158" s="2"/>
      <c r="Q158" s="2"/>
      <c r="S158" s="4"/>
    </row>
    <row r="159" customFormat="false" ht="14.25" hidden="false" customHeight="false" outlineLevel="0" collapsed="false">
      <c r="A159" s="1" t="s">
        <v>21</v>
      </c>
      <c r="B159" s="1" t="s">
        <v>12</v>
      </c>
      <c r="C159" s="1" t="n">
        <v>3</v>
      </c>
      <c r="D159" s="7" t="s">
        <v>11</v>
      </c>
      <c r="E159" s="2" t="n">
        <v>6.79</v>
      </c>
      <c r="F159" s="2" t="n">
        <v>5.95</v>
      </c>
      <c r="G159" s="2" t="n">
        <v>6.33</v>
      </c>
      <c r="H159" s="3" t="n">
        <v>0.17</v>
      </c>
      <c r="I159" s="4" t="n">
        <f aca="false">(G165-G159)/G159</f>
        <v>-0.0252764612954187</v>
      </c>
      <c r="N159" s="2"/>
      <c r="O159" s="2"/>
      <c r="P159" s="2"/>
      <c r="Q159" s="2"/>
      <c r="S159" s="4"/>
    </row>
    <row r="160" customFormat="false" ht="14.25" hidden="false" customHeight="false" outlineLevel="0" collapsed="false">
      <c r="A160" s="1" t="s">
        <v>21</v>
      </c>
      <c r="B160" s="1" t="s">
        <v>13</v>
      </c>
      <c r="C160" s="1" t="n">
        <v>3</v>
      </c>
      <c r="D160" s="7" t="s">
        <v>11</v>
      </c>
      <c r="E160" s="2" t="n">
        <v>4.99</v>
      </c>
      <c r="F160" s="2" t="n">
        <v>4.38</v>
      </c>
      <c r="G160" s="2" t="n">
        <v>4.64</v>
      </c>
      <c r="H160" s="3" t="n">
        <v>0.12</v>
      </c>
      <c r="I160" s="4" t="n">
        <f aca="false">(G166-G160)/G160</f>
        <v>-0.00862068965517242</v>
      </c>
      <c r="N160" s="2"/>
      <c r="O160" s="2"/>
      <c r="P160" s="2"/>
      <c r="Q160" s="2"/>
      <c r="S160" s="4"/>
    </row>
    <row r="161" customFormat="false" ht="14.25" hidden="false" customHeight="false" outlineLevel="0" collapsed="false">
      <c r="A161" s="1" t="s">
        <v>21</v>
      </c>
      <c r="B161" s="1" t="s">
        <v>14</v>
      </c>
      <c r="C161" s="1" t="n">
        <v>3</v>
      </c>
      <c r="D161" s="7" t="s">
        <v>11</v>
      </c>
      <c r="E161" s="2" t="n">
        <v>6.64</v>
      </c>
      <c r="F161" s="2" t="n">
        <v>5.64</v>
      </c>
      <c r="G161" s="2" t="n">
        <v>6.26</v>
      </c>
      <c r="H161" s="3" t="n">
        <v>0.09</v>
      </c>
      <c r="I161" s="4" t="n">
        <f aca="false">(G167-G161)/G161</f>
        <v>-0.011182108626198</v>
      </c>
      <c r="N161" s="2"/>
      <c r="O161" s="2"/>
      <c r="P161" s="2"/>
      <c r="Q161" s="2"/>
      <c r="S161" s="4"/>
    </row>
    <row r="162" customFormat="false" ht="14.25" hidden="false" customHeight="false" outlineLevel="0" collapsed="false">
      <c r="A162" s="1" t="s">
        <v>21</v>
      </c>
      <c r="B162" s="1" t="s">
        <v>15</v>
      </c>
      <c r="C162" s="1" t="n">
        <v>3</v>
      </c>
      <c r="D162" s="7" t="s">
        <v>11</v>
      </c>
      <c r="E162" s="2" t="n">
        <v>6.69</v>
      </c>
      <c r="F162" s="2" t="n">
        <v>5.64</v>
      </c>
      <c r="G162" s="2" t="n">
        <v>6.39</v>
      </c>
      <c r="H162" s="3" t="n">
        <v>0.13</v>
      </c>
      <c r="I162" s="4" t="n">
        <f aca="false">(G168-G162)/G162</f>
        <v>-0.00938967136150229</v>
      </c>
      <c r="N162" s="2"/>
      <c r="O162" s="2"/>
      <c r="P162" s="2"/>
      <c r="Q162" s="2"/>
      <c r="S162" s="4"/>
    </row>
    <row r="163" customFormat="false" ht="14.25" hidden="false" customHeight="false" outlineLevel="0" collapsed="false">
      <c r="A163" s="1" t="s">
        <v>21</v>
      </c>
      <c r="B163" s="1" t="s">
        <v>16</v>
      </c>
      <c r="C163" s="1" t="n">
        <v>3</v>
      </c>
      <c r="D163" s="7" t="s">
        <v>17</v>
      </c>
      <c r="E163" s="2" t="n">
        <v>5.98</v>
      </c>
      <c r="F163" s="2" t="n">
        <v>4.99</v>
      </c>
      <c r="G163" s="2" t="n">
        <v>5.13</v>
      </c>
      <c r="H163" s="3" t="n">
        <v>0.27</v>
      </c>
      <c r="I163" s="4" t="n">
        <f aca="false">(G169-G163)/G163</f>
        <v>0.00584795321637432</v>
      </c>
      <c r="N163" s="2"/>
      <c r="O163" s="2"/>
      <c r="P163" s="2"/>
      <c r="Q163" s="2"/>
      <c r="S163" s="4"/>
    </row>
    <row r="164" customFormat="false" ht="14.25" hidden="false" customHeight="false" outlineLevel="0" collapsed="false">
      <c r="A164" s="1" t="s">
        <v>21</v>
      </c>
      <c r="B164" s="1" t="s">
        <v>10</v>
      </c>
      <c r="C164" s="1" t="n">
        <v>4</v>
      </c>
      <c r="D164" s="7" t="s">
        <v>11</v>
      </c>
      <c r="E164" s="2" t="n">
        <v>6.89</v>
      </c>
      <c r="F164" s="2" t="n">
        <v>5.89</v>
      </c>
      <c r="G164" s="2" t="n">
        <v>6.14</v>
      </c>
      <c r="H164" s="3" t="n">
        <v>0.21</v>
      </c>
      <c r="I164" s="4" t="n">
        <f aca="false">(G170-G164)/G164</f>
        <v>-0.0276872964169381</v>
      </c>
      <c r="N164" s="2"/>
      <c r="O164" s="2"/>
      <c r="P164" s="2"/>
      <c r="Q164" s="2"/>
      <c r="S164" s="4"/>
    </row>
    <row r="165" customFormat="false" ht="14.25" hidden="false" customHeight="false" outlineLevel="0" collapsed="false">
      <c r="A165" s="1" t="s">
        <v>21</v>
      </c>
      <c r="B165" s="1" t="s">
        <v>12</v>
      </c>
      <c r="C165" s="1" t="n">
        <v>4</v>
      </c>
      <c r="D165" s="7" t="s">
        <v>11</v>
      </c>
      <c r="E165" s="2" t="n">
        <v>6.99</v>
      </c>
      <c r="F165" s="2" t="n">
        <v>5.89</v>
      </c>
      <c r="G165" s="2" t="n">
        <v>6.17</v>
      </c>
      <c r="H165" s="3" t="n">
        <v>0.2</v>
      </c>
      <c r="I165" s="4" t="n">
        <f aca="false">(G171-G165)/G165</f>
        <v>-0.0259319286871961</v>
      </c>
      <c r="N165" s="2"/>
      <c r="O165" s="2"/>
      <c r="P165" s="2"/>
      <c r="Q165" s="2"/>
      <c r="S165" s="4"/>
    </row>
    <row r="166" customFormat="false" ht="14.25" hidden="false" customHeight="false" outlineLevel="0" collapsed="false">
      <c r="A166" s="1" t="s">
        <v>21</v>
      </c>
      <c r="B166" s="1" t="s">
        <v>13</v>
      </c>
      <c r="C166" s="1" t="n">
        <v>4</v>
      </c>
      <c r="D166" s="7" t="s">
        <v>11</v>
      </c>
      <c r="E166" s="2" t="n">
        <v>4.99</v>
      </c>
      <c r="F166" s="2" t="n">
        <v>4.35</v>
      </c>
      <c r="G166" s="2" t="n">
        <v>4.6</v>
      </c>
      <c r="H166" s="3" t="n">
        <v>0.14</v>
      </c>
      <c r="I166" s="4" t="n">
        <f aca="false">(G172-G166)/G166</f>
        <v>-0.00217391304347821</v>
      </c>
      <c r="N166" s="2"/>
      <c r="O166" s="2"/>
      <c r="P166" s="2"/>
      <c r="Q166" s="2"/>
      <c r="S166" s="4"/>
    </row>
    <row r="167" customFormat="false" ht="14.25" hidden="false" customHeight="false" outlineLevel="0" collapsed="false">
      <c r="A167" s="1" t="s">
        <v>21</v>
      </c>
      <c r="B167" s="1" t="s">
        <v>14</v>
      </c>
      <c r="C167" s="1" t="n">
        <v>4</v>
      </c>
      <c r="D167" s="7" t="s">
        <v>11</v>
      </c>
      <c r="E167" s="2" t="n">
        <v>6.79</v>
      </c>
      <c r="F167" s="2" t="n">
        <v>5.95</v>
      </c>
      <c r="G167" s="2" t="n">
        <v>6.19</v>
      </c>
      <c r="H167" s="3" t="n">
        <v>0.09</v>
      </c>
      <c r="I167" s="4" t="n">
        <f aca="false">(G173-G167)/G167</f>
        <v>-0.0161550888529888</v>
      </c>
      <c r="N167" s="2"/>
      <c r="O167" s="2"/>
      <c r="P167" s="2"/>
      <c r="Q167" s="2"/>
      <c r="S167" s="4"/>
    </row>
    <row r="168" customFormat="false" ht="14.25" hidden="false" customHeight="false" outlineLevel="0" collapsed="false">
      <c r="A168" s="1" t="s">
        <v>21</v>
      </c>
      <c r="B168" s="1" t="s">
        <v>15</v>
      </c>
      <c r="C168" s="1" t="n">
        <v>4</v>
      </c>
      <c r="D168" s="7" t="s">
        <v>11</v>
      </c>
      <c r="E168" s="2" t="n">
        <v>6.69</v>
      </c>
      <c r="F168" s="2" t="n">
        <v>5.99</v>
      </c>
      <c r="G168" s="2" t="n">
        <v>6.33</v>
      </c>
      <c r="H168" s="3" t="n">
        <v>0.14</v>
      </c>
      <c r="I168" s="4" t="n">
        <f aca="false">(G174-G168)/G168</f>
        <v>-0.0157977883096366</v>
      </c>
      <c r="N168" s="2"/>
      <c r="O168" s="2"/>
      <c r="P168" s="2"/>
      <c r="Q168" s="2"/>
      <c r="S168" s="4"/>
    </row>
    <row r="169" customFormat="false" ht="14.25" hidden="false" customHeight="false" outlineLevel="0" collapsed="false">
      <c r="A169" s="1" t="s">
        <v>21</v>
      </c>
      <c r="B169" s="1" t="s">
        <v>16</v>
      </c>
      <c r="C169" s="1" t="n">
        <v>4</v>
      </c>
      <c r="D169" s="7" t="s">
        <v>17</v>
      </c>
      <c r="E169" s="2" t="n">
        <v>5.98</v>
      </c>
      <c r="F169" s="2" t="n">
        <v>4.99</v>
      </c>
      <c r="G169" s="2" t="n">
        <v>5.16</v>
      </c>
      <c r="H169" s="3" t="n">
        <v>0.28</v>
      </c>
      <c r="I169" s="4" t="n">
        <f aca="false">(G175-G169)/G169</f>
        <v>-0.00775193798449613</v>
      </c>
      <c r="N169" s="2"/>
      <c r="O169" s="2"/>
      <c r="P169" s="2"/>
      <c r="Q169" s="2"/>
      <c r="S169" s="4"/>
    </row>
    <row r="170" customFormat="false" ht="14.25" hidden="false" customHeight="false" outlineLevel="0" collapsed="false">
      <c r="A170" s="1" t="s">
        <v>21</v>
      </c>
      <c r="B170" s="1" t="s">
        <v>10</v>
      </c>
      <c r="C170" s="1" t="n">
        <v>5</v>
      </c>
      <c r="D170" s="7" t="s">
        <v>11</v>
      </c>
      <c r="E170" s="2" t="n">
        <v>6.59</v>
      </c>
      <c r="F170" s="2" t="n">
        <v>5.59</v>
      </c>
      <c r="G170" s="2" t="n">
        <v>5.97</v>
      </c>
      <c r="H170" s="3" t="n">
        <v>0.23</v>
      </c>
      <c r="I170" s="4" t="n">
        <f aca="false">(G176-G170)/G170</f>
        <v>-0.0184254606365158</v>
      </c>
      <c r="N170" s="2"/>
      <c r="O170" s="2"/>
      <c r="P170" s="2"/>
      <c r="Q170" s="2"/>
      <c r="S170" s="4"/>
    </row>
    <row r="171" customFormat="false" ht="14.25" hidden="false" customHeight="false" outlineLevel="0" collapsed="false">
      <c r="A171" s="1" t="s">
        <v>21</v>
      </c>
      <c r="B171" s="1" t="s">
        <v>12</v>
      </c>
      <c r="C171" s="1" t="n">
        <v>5</v>
      </c>
      <c r="D171" s="7" t="s">
        <v>11</v>
      </c>
      <c r="E171" s="2" t="n">
        <v>6.94</v>
      </c>
      <c r="F171" s="2" t="n">
        <v>5.65</v>
      </c>
      <c r="G171" s="2" t="n">
        <v>6.01</v>
      </c>
      <c r="H171" s="3" t="n">
        <v>0.23</v>
      </c>
      <c r="I171" s="4" t="n">
        <f aca="false">(G177-G171)/G171</f>
        <v>-0.021630615640599</v>
      </c>
      <c r="N171" s="2"/>
      <c r="O171" s="2"/>
      <c r="P171" s="2"/>
      <c r="Q171" s="2"/>
      <c r="S171" s="4"/>
    </row>
    <row r="172" customFormat="false" ht="14.25" hidden="false" customHeight="false" outlineLevel="0" collapsed="false">
      <c r="A172" s="1" t="s">
        <v>21</v>
      </c>
      <c r="B172" s="1" t="s">
        <v>13</v>
      </c>
      <c r="C172" s="1" t="n">
        <v>5</v>
      </c>
      <c r="D172" s="7" t="s">
        <v>11</v>
      </c>
      <c r="E172" s="2" t="n">
        <v>4.99</v>
      </c>
      <c r="F172" s="2" t="n">
        <v>4.38</v>
      </c>
      <c r="G172" s="2" t="n">
        <v>4.59</v>
      </c>
      <c r="H172" s="3" t="n">
        <v>0.13</v>
      </c>
      <c r="I172" s="4" t="n">
        <f aca="false">(G178-G172)/G172</f>
        <v>0</v>
      </c>
      <c r="N172" s="2"/>
      <c r="O172" s="2"/>
      <c r="P172" s="2"/>
      <c r="Q172" s="2"/>
      <c r="S172" s="4"/>
    </row>
    <row r="173" customFormat="false" ht="14.25" hidden="false" customHeight="false" outlineLevel="0" collapsed="false">
      <c r="A173" s="1" t="s">
        <v>21</v>
      </c>
      <c r="B173" s="1" t="s">
        <v>14</v>
      </c>
      <c r="C173" s="1" t="n">
        <v>5</v>
      </c>
      <c r="D173" s="7" t="s">
        <v>11</v>
      </c>
      <c r="E173" s="2" t="n">
        <v>6.49</v>
      </c>
      <c r="F173" s="2" t="n">
        <v>5.79</v>
      </c>
      <c r="G173" s="2" t="n">
        <v>6.09</v>
      </c>
      <c r="H173" s="3" t="n">
        <v>0.12</v>
      </c>
      <c r="I173" s="4" t="n">
        <f aca="false">(G179-G173)/G173</f>
        <v>-0.00656814449917899</v>
      </c>
      <c r="N173" s="2"/>
      <c r="O173" s="2"/>
      <c r="P173" s="2"/>
      <c r="Q173" s="2"/>
      <c r="S173" s="4"/>
    </row>
    <row r="174" customFormat="false" ht="14.25" hidden="false" customHeight="false" outlineLevel="0" collapsed="false">
      <c r="A174" s="1" t="s">
        <v>21</v>
      </c>
      <c r="B174" s="1" t="s">
        <v>15</v>
      </c>
      <c r="C174" s="1" t="n">
        <v>5</v>
      </c>
      <c r="D174" s="7" t="s">
        <v>11</v>
      </c>
      <c r="E174" s="2" t="n">
        <v>6.69</v>
      </c>
      <c r="F174" s="2" t="n">
        <v>5.89</v>
      </c>
      <c r="G174" s="2" t="n">
        <v>6.23</v>
      </c>
      <c r="H174" s="3" t="n">
        <v>0.15</v>
      </c>
      <c r="I174" s="4" t="n">
        <f aca="false">(G180-G174)/G174</f>
        <v>-0.00642054574638845</v>
      </c>
      <c r="N174" s="2"/>
      <c r="O174" s="2"/>
      <c r="P174" s="2"/>
      <c r="Q174" s="2"/>
      <c r="S174" s="4"/>
    </row>
    <row r="175" customFormat="false" ht="14.25" hidden="false" customHeight="false" outlineLevel="0" collapsed="false">
      <c r="A175" s="1" t="s">
        <v>21</v>
      </c>
      <c r="B175" s="1" t="s">
        <v>16</v>
      </c>
      <c r="C175" s="1" t="n">
        <v>5</v>
      </c>
      <c r="D175" s="7" t="s">
        <v>17</v>
      </c>
      <c r="E175" s="2" t="n">
        <v>5.98</v>
      </c>
      <c r="F175" s="2" t="n">
        <v>4.99</v>
      </c>
      <c r="G175" s="2" t="n">
        <v>5.12</v>
      </c>
      <c r="H175" s="3" t="n">
        <v>0.26</v>
      </c>
      <c r="I175" s="4" t="n">
        <f aca="false">(G181-G175)/G175</f>
        <v>0</v>
      </c>
      <c r="N175" s="2"/>
      <c r="O175" s="2"/>
      <c r="P175" s="2"/>
      <c r="Q175" s="2"/>
      <c r="S175" s="4"/>
    </row>
    <row r="176" customFormat="false" ht="14.25" hidden="false" customHeight="false" outlineLevel="0" collapsed="false">
      <c r="A176" s="1" t="s">
        <v>21</v>
      </c>
      <c r="B176" s="1" t="s">
        <v>10</v>
      </c>
      <c r="C176" s="1" t="n">
        <v>6</v>
      </c>
      <c r="D176" s="7" t="s">
        <v>11</v>
      </c>
      <c r="E176" s="2" t="n">
        <v>6.69</v>
      </c>
      <c r="F176" s="2" t="n">
        <v>5.36</v>
      </c>
      <c r="G176" s="2" t="n">
        <v>5.86</v>
      </c>
      <c r="H176" s="3" t="n">
        <v>0.28</v>
      </c>
      <c r="I176" s="4"/>
      <c r="N176" s="2"/>
      <c r="O176" s="2"/>
      <c r="P176" s="2"/>
      <c r="Q176" s="2"/>
      <c r="S176" s="4"/>
    </row>
    <row r="177" customFormat="false" ht="14.25" hidden="false" customHeight="false" outlineLevel="0" collapsed="false">
      <c r="A177" s="1" t="s">
        <v>21</v>
      </c>
      <c r="B177" s="1" t="s">
        <v>12</v>
      </c>
      <c r="C177" s="1" t="n">
        <v>6</v>
      </c>
      <c r="D177" s="7" t="s">
        <v>11</v>
      </c>
      <c r="E177" s="2" t="n">
        <v>6.99</v>
      </c>
      <c r="F177" s="2" t="n">
        <v>5.49</v>
      </c>
      <c r="G177" s="2" t="n">
        <v>5.88</v>
      </c>
      <c r="H177" s="3" t="n">
        <v>0.27</v>
      </c>
      <c r="I177" s="4"/>
      <c r="N177" s="2"/>
      <c r="O177" s="2"/>
      <c r="P177" s="2"/>
      <c r="Q177" s="2"/>
      <c r="S177" s="4"/>
    </row>
    <row r="178" customFormat="false" ht="14.25" hidden="false" customHeight="false" outlineLevel="0" collapsed="false">
      <c r="A178" s="1" t="s">
        <v>21</v>
      </c>
      <c r="B178" s="1" t="s">
        <v>13</v>
      </c>
      <c r="C178" s="1" t="n">
        <v>6</v>
      </c>
      <c r="D178" s="7" t="s">
        <v>11</v>
      </c>
      <c r="E178" s="2" t="n">
        <v>4.99</v>
      </c>
      <c r="F178" s="2" t="n">
        <v>4.38</v>
      </c>
      <c r="G178" s="2" t="n">
        <v>4.59</v>
      </c>
      <c r="H178" s="3" t="n">
        <v>0.13</v>
      </c>
      <c r="I178" s="4"/>
      <c r="N178" s="2"/>
      <c r="O178" s="2"/>
      <c r="P178" s="2"/>
      <c r="Q178" s="2"/>
      <c r="S178" s="4"/>
    </row>
    <row r="179" customFormat="false" ht="14.25" hidden="false" customHeight="false" outlineLevel="0" collapsed="false">
      <c r="A179" s="1" t="s">
        <v>21</v>
      </c>
      <c r="B179" s="1" t="s">
        <v>14</v>
      </c>
      <c r="C179" s="1" t="n">
        <v>6</v>
      </c>
      <c r="D179" s="7" t="s">
        <v>11</v>
      </c>
      <c r="E179" s="2" t="n">
        <v>6.29</v>
      </c>
      <c r="F179" s="2" t="n">
        <v>5.77</v>
      </c>
      <c r="G179" s="2" t="n">
        <v>6.05</v>
      </c>
      <c r="H179" s="3" t="n">
        <v>0.11</v>
      </c>
      <c r="I179" s="4"/>
      <c r="N179" s="2"/>
      <c r="O179" s="2"/>
      <c r="P179" s="2"/>
      <c r="Q179" s="2"/>
      <c r="S179" s="4"/>
    </row>
    <row r="180" customFormat="false" ht="14.25" hidden="false" customHeight="false" outlineLevel="0" collapsed="false">
      <c r="A180" s="1" t="s">
        <v>21</v>
      </c>
      <c r="B180" s="1" t="s">
        <v>15</v>
      </c>
      <c r="C180" s="1" t="n">
        <v>6</v>
      </c>
      <c r="D180" s="7" t="s">
        <v>11</v>
      </c>
      <c r="E180" s="2" t="n">
        <v>6.49</v>
      </c>
      <c r="F180" s="2" t="n">
        <v>5.79</v>
      </c>
      <c r="G180" s="2" t="n">
        <v>6.19</v>
      </c>
      <c r="H180" s="3" t="n">
        <v>0.15</v>
      </c>
      <c r="I180" s="4"/>
      <c r="N180" s="2"/>
      <c r="O180" s="2"/>
      <c r="P180" s="2"/>
      <c r="Q180" s="2"/>
      <c r="S180" s="4"/>
    </row>
    <row r="181" customFormat="false" ht="14.25" hidden="false" customHeight="false" outlineLevel="0" collapsed="false">
      <c r="A181" s="1" t="s">
        <v>21</v>
      </c>
      <c r="B181" s="1" t="s">
        <v>16</v>
      </c>
      <c r="C181" s="1" t="n">
        <v>6</v>
      </c>
      <c r="D181" s="7" t="s">
        <v>17</v>
      </c>
      <c r="E181" s="2" t="n">
        <v>5.98</v>
      </c>
      <c r="F181" s="2" t="n">
        <v>4.99</v>
      </c>
      <c r="G181" s="2" t="n">
        <v>5.12</v>
      </c>
      <c r="H181" s="3" t="n">
        <v>0.28</v>
      </c>
      <c r="I181" s="4"/>
      <c r="N181" s="2"/>
      <c r="O181" s="2"/>
      <c r="P181" s="2"/>
      <c r="Q181" s="2"/>
      <c r="S181" s="4"/>
    </row>
    <row r="182" customFormat="false" ht="14.25" hidden="false" customHeight="false" outlineLevel="0" collapsed="false">
      <c r="A182" s="1" t="s">
        <v>22</v>
      </c>
      <c r="B182" s="1" t="s">
        <v>10</v>
      </c>
      <c r="C182" s="1" t="n">
        <v>1</v>
      </c>
      <c r="D182" s="7" t="s">
        <v>11</v>
      </c>
      <c r="E182" s="2" t="n">
        <v>6.49</v>
      </c>
      <c r="F182" s="2" t="n">
        <v>5.73</v>
      </c>
      <c r="G182" s="2" t="n">
        <v>6.25</v>
      </c>
      <c r="H182" s="3" t="n">
        <v>0.21</v>
      </c>
      <c r="I182" s="4" t="n">
        <f aca="false">(G188-G182)/G182</f>
        <v>0.0672</v>
      </c>
      <c r="N182" s="2"/>
      <c r="O182" s="2"/>
      <c r="P182" s="2"/>
      <c r="Q182" s="2"/>
      <c r="S182" s="4"/>
    </row>
    <row r="183" customFormat="false" ht="14.25" hidden="false" customHeight="false" outlineLevel="0" collapsed="false">
      <c r="A183" s="1" t="s">
        <v>22</v>
      </c>
      <c r="B183" s="1" t="s">
        <v>12</v>
      </c>
      <c r="C183" s="1" t="n">
        <v>1</v>
      </c>
      <c r="D183" s="7" t="s">
        <v>11</v>
      </c>
      <c r="E183" s="2" t="n">
        <v>6.99</v>
      </c>
      <c r="F183" s="2" t="n">
        <v>5.64</v>
      </c>
      <c r="G183" s="2" t="n">
        <v>6.05</v>
      </c>
      <c r="H183" s="3" t="n">
        <v>0.23</v>
      </c>
      <c r="I183" s="4" t="n">
        <f aca="false">(G189-G183)/G183</f>
        <v>0.0429752066115702</v>
      </c>
      <c r="N183" s="2"/>
      <c r="O183" s="2"/>
      <c r="P183" s="2"/>
      <c r="Q183" s="2"/>
      <c r="S183" s="4"/>
    </row>
    <row r="184" customFormat="false" ht="14.25" hidden="false" customHeight="false" outlineLevel="0" collapsed="false">
      <c r="A184" s="1" t="s">
        <v>22</v>
      </c>
      <c r="B184" s="1" t="s">
        <v>13</v>
      </c>
      <c r="C184" s="1" t="n">
        <v>1</v>
      </c>
      <c r="D184" s="7" t="s">
        <v>11</v>
      </c>
      <c r="E184" s="2" t="n">
        <v>5.99</v>
      </c>
      <c r="F184" s="2" t="n">
        <v>3.75</v>
      </c>
      <c r="G184" s="2" t="n">
        <v>4.61</v>
      </c>
      <c r="H184" s="3" t="n">
        <v>0.42</v>
      </c>
      <c r="I184" s="4" t="n">
        <f aca="false">(G190-G184)/G184</f>
        <v>0.0585683297180042</v>
      </c>
      <c r="N184" s="2"/>
      <c r="O184" s="2"/>
      <c r="P184" s="2"/>
      <c r="Q184" s="2"/>
      <c r="S184" s="4"/>
    </row>
    <row r="185" customFormat="false" ht="14.25" hidden="false" customHeight="false" outlineLevel="0" collapsed="false">
      <c r="A185" s="1" t="s">
        <v>22</v>
      </c>
      <c r="B185" s="1" t="s">
        <v>14</v>
      </c>
      <c r="C185" s="1" t="n">
        <v>1</v>
      </c>
      <c r="D185" s="7" t="s">
        <v>11</v>
      </c>
      <c r="E185" s="2" t="n">
        <v>7.49</v>
      </c>
      <c r="F185" s="2" t="n">
        <v>5.65</v>
      </c>
      <c r="G185" s="2" t="n">
        <v>6.24</v>
      </c>
      <c r="H185" s="3" t="n">
        <v>0.33</v>
      </c>
      <c r="I185" s="4" t="n">
        <f aca="false">(G191-G185)/G185</f>
        <v>0.0352564102564102</v>
      </c>
      <c r="N185" s="2"/>
      <c r="O185" s="2"/>
      <c r="P185" s="2"/>
      <c r="Q185" s="2"/>
      <c r="S185" s="4"/>
    </row>
    <row r="186" customFormat="false" ht="14.25" hidden="false" customHeight="false" outlineLevel="0" collapsed="false">
      <c r="A186" s="1" t="s">
        <v>22</v>
      </c>
      <c r="B186" s="1" t="s">
        <v>15</v>
      </c>
      <c r="C186" s="1" t="n">
        <v>1</v>
      </c>
      <c r="D186" s="7" t="s">
        <v>11</v>
      </c>
      <c r="E186" s="2" t="n">
        <v>6.99</v>
      </c>
      <c r="F186" s="2" t="n">
        <v>5.65</v>
      </c>
      <c r="G186" s="2" t="n">
        <v>6.38</v>
      </c>
      <c r="H186" s="3" t="n">
        <v>0.3</v>
      </c>
      <c r="I186" s="4" t="n">
        <f aca="false">(G192-G186)/G186</f>
        <v>0.036050156739812</v>
      </c>
      <c r="N186" s="2"/>
      <c r="O186" s="2"/>
      <c r="P186" s="2"/>
      <c r="Q186" s="2"/>
      <c r="S186" s="4"/>
    </row>
    <row r="187" customFormat="false" ht="14.25" hidden="false" customHeight="false" outlineLevel="0" collapsed="false">
      <c r="A187" s="1" t="s">
        <v>22</v>
      </c>
      <c r="B187" s="1" t="s">
        <v>16</v>
      </c>
      <c r="C187" s="1" t="n">
        <v>1</v>
      </c>
      <c r="D187" s="7" t="s">
        <v>17</v>
      </c>
      <c r="E187" s="2" t="n">
        <v>4.59</v>
      </c>
      <c r="F187" s="2" t="n">
        <v>4.59</v>
      </c>
      <c r="G187" s="2" t="n">
        <v>4.59</v>
      </c>
      <c r="H187" s="3" t="n">
        <v>0</v>
      </c>
      <c r="I187" s="4" t="n">
        <f aca="false">(G193-G187)/G187</f>
        <v>0.0108932461873638</v>
      </c>
      <c r="N187" s="2"/>
      <c r="O187" s="2"/>
      <c r="P187" s="2"/>
      <c r="Q187" s="2"/>
      <c r="S187" s="4"/>
    </row>
    <row r="188" customFormat="false" ht="14.25" hidden="false" customHeight="false" outlineLevel="0" collapsed="false">
      <c r="A188" s="1" t="s">
        <v>22</v>
      </c>
      <c r="B188" s="1" t="s">
        <v>10</v>
      </c>
      <c r="C188" s="1" t="n">
        <v>2</v>
      </c>
      <c r="D188" s="7" t="s">
        <v>11</v>
      </c>
      <c r="E188" s="2" t="n">
        <v>6.79</v>
      </c>
      <c r="F188" s="2" t="n">
        <v>6.13</v>
      </c>
      <c r="G188" s="2" t="n">
        <v>6.67</v>
      </c>
      <c r="H188" s="3" t="n">
        <v>0.17</v>
      </c>
      <c r="I188" s="4" t="n">
        <f aca="false">(G194-G188)/G188</f>
        <v>-0.0254872563718141</v>
      </c>
      <c r="N188" s="2"/>
      <c r="O188" s="2"/>
      <c r="P188" s="2"/>
      <c r="Q188" s="2"/>
      <c r="S188" s="4"/>
    </row>
    <row r="189" customFormat="false" ht="14.25" hidden="false" customHeight="false" outlineLevel="0" collapsed="false">
      <c r="A189" s="1" t="s">
        <v>22</v>
      </c>
      <c r="B189" s="1" t="s">
        <v>12</v>
      </c>
      <c r="C189" s="1" t="n">
        <v>2</v>
      </c>
      <c r="D189" s="7" t="s">
        <v>11</v>
      </c>
      <c r="E189" s="2" t="n">
        <v>7.29</v>
      </c>
      <c r="F189" s="2" t="n">
        <v>5.88</v>
      </c>
      <c r="G189" s="2" t="n">
        <v>6.31</v>
      </c>
      <c r="H189" s="3" t="n">
        <v>0.23</v>
      </c>
      <c r="I189" s="4" t="n">
        <f aca="false">(G195-G189)/G189</f>
        <v>-0.0158478605388272</v>
      </c>
      <c r="N189" s="2"/>
      <c r="O189" s="2"/>
      <c r="P189" s="2"/>
      <c r="Q189" s="2"/>
      <c r="S189" s="4"/>
    </row>
    <row r="190" customFormat="false" ht="14.25" hidden="false" customHeight="false" outlineLevel="0" collapsed="false">
      <c r="A190" s="1" t="s">
        <v>22</v>
      </c>
      <c r="B190" s="1" t="s">
        <v>13</v>
      </c>
      <c r="C190" s="1" t="n">
        <v>2</v>
      </c>
      <c r="D190" s="7" t="s">
        <v>11</v>
      </c>
      <c r="E190" s="2" t="n">
        <v>6.49</v>
      </c>
      <c r="F190" s="2" t="n">
        <v>3.99</v>
      </c>
      <c r="G190" s="2" t="n">
        <v>4.88</v>
      </c>
      <c r="H190" s="3" t="n">
        <v>0.32</v>
      </c>
      <c r="I190" s="4" t="n">
        <f aca="false">(G196-G190)/G190</f>
        <v>-0.00409836065573762</v>
      </c>
      <c r="N190" s="2"/>
      <c r="O190" s="2"/>
      <c r="P190" s="2"/>
      <c r="Q190" s="2"/>
      <c r="S190" s="4"/>
    </row>
    <row r="191" customFormat="false" ht="14.25" hidden="false" customHeight="false" outlineLevel="0" collapsed="false">
      <c r="A191" s="1" t="s">
        <v>22</v>
      </c>
      <c r="B191" s="1" t="s">
        <v>14</v>
      </c>
      <c r="C191" s="1" t="n">
        <v>2</v>
      </c>
      <c r="D191" s="7" t="s">
        <v>11</v>
      </c>
      <c r="E191" s="2" t="n">
        <v>7.59</v>
      </c>
      <c r="F191" s="2" t="n">
        <v>5.65</v>
      </c>
      <c r="G191" s="2" t="n">
        <v>6.46</v>
      </c>
      <c r="H191" s="3" t="n">
        <v>0.32</v>
      </c>
      <c r="I191" s="4" t="n">
        <f aca="false">(G197-G191)/G191</f>
        <v>-0.00928792569659437</v>
      </c>
      <c r="N191" s="2"/>
      <c r="O191" s="2"/>
      <c r="P191" s="2"/>
      <c r="Q191" s="2"/>
      <c r="S191" s="4"/>
    </row>
    <row r="192" customFormat="false" ht="14.25" hidden="false" customHeight="false" outlineLevel="0" collapsed="false">
      <c r="A192" s="1" t="s">
        <v>22</v>
      </c>
      <c r="B192" s="1" t="s">
        <v>15</v>
      </c>
      <c r="C192" s="1" t="n">
        <v>2</v>
      </c>
      <c r="D192" s="7" t="s">
        <v>11</v>
      </c>
      <c r="E192" s="2" t="n">
        <v>7.15</v>
      </c>
      <c r="F192" s="2" t="n">
        <v>5.79</v>
      </c>
      <c r="G192" s="2" t="n">
        <v>6.61</v>
      </c>
      <c r="H192" s="3" t="n">
        <v>0.29</v>
      </c>
      <c r="I192" s="4" t="n">
        <f aca="false">(G198-G192)/G192</f>
        <v>-0.00756429652042371</v>
      </c>
      <c r="N192" s="2"/>
      <c r="O192" s="2"/>
      <c r="P192" s="2"/>
      <c r="Q192" s="2"/>
      <c r="S192" s="4"/>
    </row>
    <row r="193" customFormat="false" ht="14.25" hidden="false" customHeight="false" outlineLevel="0" collapsed="false">
      <c r="A193" s="1" t="s">
        <v>22</v>
      </c>
      <c r="B193" s="1" t="s">
        <v>16</v>
      </c>
      <c r="C193" s="1" t="n">
        <v>2</v>
      </c>
      <c r="D193" s="7" t="s">
        <v>17</v>
      </c>
      <c r="E193" s="2" t="n">
        <v>4.64</v>
      </c>
      <c r="F193" s="2" t="n">
        <v>4.64</v>
      </c>
      <c r="G193" s="2" t="n">
        <v>4.64</v>
      </c>
      <c r="H193" s="3" t="n">
        <v>0</v>
      </c>
      <c r="I193" s="4" t="n">
        <f aca="false">(G199-G193)/G193</f>
        <v>0</v>
      </c>
      <c r="N193" s="2"/>
      <c r="O193" s="2"/>
      <c r="P193" s="2"/>
      <c r="Q193" s="2"/>
      <c r="S193" s="4"/>
    </row>
    <row r="194" customFormat="false" ht="14.25" hidden="false" customHeight="false" outlineLevel="0" collapsed="false">
      <c r="A194" s="1" t="s">
        <v>22</v>
      </c>
      <c r="B194" s="1" t="s">
        <v>10</v>
      </c>
      <c r="C194" s="1" t="n">
        <v>3</v>
      </c>
      <c r="D194" s="7" t="s">
        <v>11</v>
      </c>
      <c r="E194" s="2" t="n">
        <v>6.79</v>
      </c>
      <c r="F194" s="2" t="n">
        <v>5.79</v>
      </c>
      <c r="G194" s="2" t="n">
        <v>6.5</v>
      </c>
      <c r="H194" s="3" t="n">
        <v>0.23</v>
      </c>
      <c r="I194" s="4" t="n">
        <f aca="false">(G200-G194)/G194</f>
        <v>-0.036923076923077</v>
      </c>
      <c r="N194" s="2"/>
      <c r="O194" s="2"/>
      <c r="P194" s="2"/>
      <c r="Q194" s="2"/>
      <c r="S194" s="4"/>
    </row>
    <row r="195" customFormat="false" ht="14.25" hidden="false" customHeight="false" outlineLevel="0" collapsed="false">
      <c r="A195" s="1" t="s">
        <v>22</v>
      </c>
      <c r="B195" s="1" t="s">
        <v>12</v>
      </c>
      <c r="C195" s="1" t="n">
        <v>3</v>
      </c>
      <c r="D195" s="7" t="s">
        <v>11</v>
      </c>
      <c r="E195" s="2" t="n">
        <v>7.15</v>
      </c>
      <c r="F195" s="2" t="n">
        <v>5.69</v>
      </c>
      <c r="G195" s="2" t="n">
        <v>6.21</v>
      </c>
      <c r="H195" s="3" t="n">
        <v>0.27</v>
      </c>
      <c r="I195" s="4" t="n">
        <f aca="false">(G201-G195)/G195</f>
        <v>-0.037037037037037</v>
      </c>
      <c r="N195" s="2"/>
      <c r="O195" s="2"/>
      <c r="P195" s="2"/>
      <c r="Q195" s="2"/>
      <c r="S195" s="4"/>
    </row>
    <row r="196" customFormat="false" ht="14.25" hidden="false" customHeight="false" outlineLevel="0" collapsed="false">
      <c r="A196" s="1" t="s">
        <v>22</v>
      </c>
      <c r="B196" s="1" t="s">
        <v>13</v>
      </c>
      <c r="C196" s="1" t="n">
        <v>3</v>
      </c>
      <c r="D196" s="7" t="s">
        <v>11</v>
      </c>
      <c r="E196" s="2" t="n">
        <v>6.49</v>
      </c>
      <c r="F196" s="2" t="n">
        <v>3.99</v>
      </c>
      <c r="G196" s="2" t="n">
        <v>4.86</v>
      </c>
      <c r="H196" s="3" t="n">
        <v>0.32</v>
      </c>
      <c r="I196" s="4" t="n">
        <f aca="false">(G202-G196)/G196</f>
        <v>-0.00823045267489713</v>
      </c>
      <c r="N196" s="2"/>
      <c r="O196" s="2"/>
      <c r="P196" s="2"/>
      <c r="Q196" s="2"/>
      <c r="S196" s="4"/>
    </row>
    <row r="197" customFormat="false" ht="14.25" hidden="false" customHeight="false" outlineLevel="0" collapsed="false">
      <c r="A197" s="1" t="s">
        <v>22</v>
      </c>
      <c r="B197" s="1" t="s">
        <v>14</v>
      </c>
      <c r="C197" s="1" t="n">
        <v>3</v>
      </c>
      <c r="D197" s="7" t="s">
        <v>11</v>
      </c>
      <c r="E197" s="2" t="n">
        <v>7.59</v>
      </c>
      <c r="F197" s="2" t="n">
        <v>5.46</v>
      </c>
      <c r="G197" s="2" t="n">
        <v>6.4</v>
      </c>
      <c r="H197" s="3" t="n">
        <v>0.33</v>
      </c>
      <c r="I197" s="4" t="n">
        <f aca="false">(G203-G197)/G197</f>
        <v>-0.0109375</v>
      </c>
      <c r="N197" s="2"/>
      <c r="O197" s="2"/>
      <c r="P197" s="2"/>
      <c r="Q197" s="2"/>
      <c r="S197" s="4"/>
    </row>
    <row r="198" customFormat="false" ht="14.25" hidden="false" customHeight="false" outlineLevel="0" collapsed="false">
      <c r="A198" s="1" t="s">
        <v>22</v>
      </c>
      <c r="B198" s="1" t="s">
        <v>15</v>
      </c>
      <c r="C198" s="1" t="n">
        <v>3</v>
      </c>
      <c r="D198" s="7" t="s">
        <v>11</v>
      </c>
      <c r="E198" s="2" t="n">
        <v>7.15</v>
      </c>
      <c r="F198" s="2" t="n">
        <v>5.74</v>
      </c>
      <c r="G198" s="2" t="n">
        <v>6.56</v>
      </c>
      <c r="H198" s="3" t="n">
        <v>0.31</v>
      </c>
      <c r="I198" s="4" t="n">
        <f aca="false">(G204-G198)/G198</f>
        <v>-0.010670731707317</v>
      </c>
      <c r="N198" s="2"/>
      <c r="O198" s="2"/>
      <c r="P198" s="2"/>
      <c r="Q198" s="2"/>
      <c r="S198" s="4"/>
    </row>
    <row r="199" customFormat="false" ht="14.25" hidden="false" customHeight="false" outlineLevel="0" collapsed="false">
      <c r="A199" s="1" t="s">
        <v>22</v>
      </c>
      <c r="B199" s="1" t="s">
        <v>16</v>
      </c>
      <c r="C199" s="1" t="n">
        <v>3</v>
      </c>
      <c r="D199" s="7" t="s">
        <v>17</v>
      </c>
      <c r="E199" s="2" t="n">
        <v>4.64</v>
      </c>
      <c r="F199" s="2" t="n">
        <v>4.64</v>
      </c>
      <c r="G199" s="2" t="n">
        <v>4.64</v>
      </c>
      <c r="H199" s="3" t="n">
        <v>0</v>
      </c>
      <c r="I199" s="4" t="n">
        <f aca="false">(G205-G199)/G199</f>
        <v>0</v>
      </c>
      <c r="N199" s="2"/>
      <c r="O199" s="2"/>
      <c r="P199" s="2"/>
      <c r="Q199" s="2"/>
      <c r="S199" s="4"/>
    </row>
    <row r="200" customFormat="false" ht="14.25" hidden="false" customHeight="false" outlineLevel="0" collapsed="false">
      <c r="A200" s="1" t="s">
        <v>22</v>
      </c>
      <c r="B200" s="1" t="s">
        <v>10</v>
      </c>
      <c r="C200" s="1" t="n">
        <v>4</v>
      </c>
      <c r="D200" s="7" t="s">
        <v>11</v>
      </c>
      <c r="E200" s="2" t="n">
        <v>6.79</v>
      </c>
      <c r="F200" s="2" t="n">
        <v>5.8</v>
      </c>
      <c r="G200" s="2" t="n">
        <v>6.26</v>
      </c>
      <c r="H200" s="3" t="n">
        <v>0.28</v>
      </c>
      <c r="I200" s="4" t="n">
        <f aca="false">(G206-G200)/G200</f>
        <v>-0.060702875399361</v>
      </c>
      <c r="N200" s="2"/>
      <c r="O200" s="2"/>
      <c r="P200" s="2"/>
      <c r="Q200" s="2"/>
      <c r="S200" s="4"/>
    </row>
    <row r="201" customFormat="false" ht="14.25" hidden="false" customHeight="false" outlineLevel="0" collapsed="false">
      <c r="A201" s="1" t="s">
        <v>22</v>
      </c>
      <c r="B201" s="1" t="s">
        <v>12</v>
      </c>
      <c r="C201" s="1" t="n">
        <v>4</v>
      </c>
      <c r="D201" s="7" t="s">
        <v>11</v>
      </c>
      <c r="E201" s="2" t="n">
        <v>6.99</v>
      </c>
      <c r="F201" s="2" t="n">
        <v>5.44</v>
      </c>
      <c r="G201" s="2" t="n">
        <v>5.98</v>
      </c>
      <c r="H201" s="3" t="n">
        <v>0.32</v>
      </c>
      <c r="I201" s="4" t="n">
        <f aca="false">(G207-G201)/G201</f>
        <v>-0.0334448160535117</v>
      </c>
      <c r="N201" s="2"/>
      <c r="O201" s="2"/>
      <c r="P201" s="2"/>
      <c r="Q201" s="2"/>
      <c r="S201" s="4"/>
    </row>
    <row r="202" customFormat="false" ht="14.25" hidden="false" customHeight="false" outlineLevel="0" collapsed="false">
      <c r="A202" s="1" t="s">
        <v>22</v>
      </c>
      <c r="B202" s="1" t="s">
        <v>13</v>
      </c>
      <c r="C202" s="1" t="n">
        <v>4</v>
      </c>
      <c r="D202" s="7" t="s">
        <v>11</v>
      </c>
      <c r="E202" s="2" t="n">
        <v>6.49</v>
      </c>
      <c r="F202" s="2" t="n">
        <v>3.99</v>
      </c>
      <c r="G202" s="2" t="n">
        <v>4.82</v>
      </c>
      <c r="H202" s="3" t="n">
        <v>0.28</v>
      </c>
      <c r="I202" s="4" t="n">
        <f aca="false">(G208-G202)/G202</f>
        <v>0.00207468879668045</v>
      </c>
      <c r="N202" s="2"/>
      <c r="O202" s="2"/>
      <c r="P202" s="2"/>
      <c r="Q202" s="2"/>
      <c r="S202" s="4"/>
    </row>
    <row r="203" customFormat="false" ht="14.25" hidden="false" customHeight="false" outlineLevel="0" collapsed="false">
      <c r="A203" s="1" t="s">
        <v>22</v>
      </c>
      <c r="B203" s="1" t="s">
        <v>14</v>
      </c>
      <c r="C203" s="1" t="n">
        <v>4</v>
      </c>
      <c r="D203" s="7" t="s">
        <v>11</v>
      </c>
      <c r="E203" s="2" t="n">
        <v>7.59</v>
      </c>
      <c r="F203" s="2" t="n">
        <v>5.49</v>
      </c>
      <c r="G203" s="2" t="n">
        <v>6.33</v>
      </c>
      <c r="H203" s="3" t="n">
        <v>0.35</v>
      </c>
      <c r="I203" s="4" t="n">
        <f aca="false">(G209-G203)/G203</f>
        <v>-0.00631911532385467</v>
      </c>
      <c r="N203" s="2"/>
      <c r="O203" s="2"/>
      <c r="P203" s="2"/>
      <c r="Q203" s="2"/>
      <c r="S203" s="4"/>
    </row>
    <row r="204" customFormat="false" ht="14.25" hidden="false" customHeight="false" outlineLevel="0" collapsed="false">
      <c r="A204" s="1" t="s">
        <v>22</v>
      </c>
      <c r="B204" s="1" t="s">
        <v>15</v>
      </c>
      <c r="C204" s="1" t="n">
        <v>4</v>
      </c>
      <c r="D204" s="7" t="s">
        <v>11</v>
      </c>
      <c r="E204" s="2" t="n">
        <v>7.15</v>
      </c>
      <c r="F204" s="2" t="n">
        <v>5.69</v>
      </c>
      <c r="G204" s="2" t="n">
        <v>6.49</v>
      </c>
      <c r="H204" s="3" t="n">
        <v>0.34</v>
      </c>
      <c r="I204" s="4" t="n">
        <f aca="false">(G210-G204)/G204</f>
        <v>-0.0077041602465331</v>
      </c>
      <c r="N204" s="2"/>
      <c r="O204" s="2"/>
      <c r="P204" s="2"/>
      <c r="Q204" s="2"/>
      <c r="S204" s="4"/>
    </row>
    <row r="205" customFormat="false" ht="14.25" hidden="false" customHeight="false" outlineLevel="0" collapsed="false">
      <c r="A205" s="1" t="s">
        <v>22</v>
      </c>
      <c r="B205" s="1" t="s">
        <v>16</v>
      </c>
      <c r="C205" s="1" t="n">
        <v>4</v>
      </c>
      <c r="D205" s="7" t="s">
        <v>17</v>
      </c>
      <c r="E205" s="2" t="n">
        <v>4.99</v>
      </c>
      <c r="F205" s="2" t="n">
        <v>4.64</v>
      </c>
      <c r="G205" s="2" t="n">
        <v>4.64</v>
      </c>
      <c r="H205" s="3" t="n">
        <v>0.03</v>
      </c>
      <c r="I205" s="4" t="n">
        <f aca="false">(G211-G205)/G205</f>
        <v>0.0172413793103448</v>
      </c>
      <c r="N205" s="2"/>
      <c r="O205" s="2"/>
      <c r="P205" s="2"/>
      <c r="Q205" s="2"/>
      <c r="S205" s="4"/>
    </row>
    <row r="206" customFormat="false" ht="14.25" hidden="false" customHeight="false" outlineLevel="0" collapsed="false">
      <c r="A206" s="1" t="s">
        <v>22</v>
      </c>
      <c r="B206" s="1" t="s">
        <v>10</v>
      </c>
      <c r="C206" s="1" t="n">
        <v>5</v>
      </c>
      <c r="D206" s="7" t="s">
        <v>11</v>
      </c>
      <c r="E206" s="2" t="n">
        <v>6.39</v>
      </c>
      <c r="F206" s="2" t="n">
        <v>5.45</v>
      </c>
      <c r="G206" s="2" t="n">
        <v>5.88</v>
      </c>
      <c r="H206" s="3" t="n">
        <v>0.18</v>
      </c>
      <c r="I206" s="4" t="n">
        <f aca="false">(G212-G206)/G206</f>
        <v>0</v>
      </c>
      <c r="N206" s="2"/>
      <c r="O206" s="2"/>
      <c r="P206" s="2"/>
      <c r="Q206" s="2"/>
      <c r="S206" s="4"/>
    </row>
    <row r="207" customFormat="false" ht="14.25" hidden="false" customHeight="false" outlineLevel="0" collapsed="false">
      <c r="A207" s="1" t="s">
        <v>22</v>
      </c>
      <c r="B207" s="1" t="s">
        <v>12</v>
      </c>
      <c r="C207" s="1" t="n">
        <v>5</v>
      </c>
      <c r="D207" s="7" t="s">
        <v>11</v>
      </c>
      <c r="E207" s="2" t="n">
        <v>6.99</v>
      </c>
      <c r="F207" s="2" t="n">
        <v>5.28</v>
      </c>
      <c r="G207" s="2" t="n">
        <v>5.78</v>
      </c>
      <c r="H207" s="3" t="n">
        <v>0.3</v>
      </c>
      <c r="I207" s="4" t="n">
        <f aca="false">(G213-G207)/G207</f>
        <v>-0.0103806228373703</v>
      </c>
      <c r="N207" s="2"/>
      <c r="O207" s="2"/>
      <c r="P207" s="2"/>
      <c r="Q207" s="2"/>
      <c r="S207" s="4"/>
    </row>
    <row r="208" customFormat="false" ht="14.25" hidden="false" customHeight="false" outlineLevel="0" collapsed="false">
      <c r="A208" s="1" t="s">
        <v>22</v>
      </c>
      <c r="B208" s="1" t="s">
        <v>13</v>
      </c>
      <c r="C208" s="1" t="n">
        <v>5</v>
      </c>
      <c r="D208" s="7" t="s">
        <v>11</v>
      </c>
      <c r="E208" s="2" t="n">
        <v>6.89</v>
      </c>
      <c r="F208" s="2" t="n">
        <v>4.2</v>
      </c>
      <c r="G208" s="2" t="n">
        <v>4.83</v>
      </c>
      <c r="H208" s="3" t="n">
        <v>0.28</v>
      </c>
      <c r="I208" s="4" t="n">
        <f aca="false">(G214-G208)/G208</f>
        <v>0.00828157349896481</v>
      </c>
      <c r="N208" s="2"/>
      <c r="O208" s="2"/>
      <c r="P208" s="2"/>
      <c r="Q208" s="2"/>
      <c r="S208" s="4"/>
    </row>
    <row r="209" customFormat="false" ht="14.25" hidden="false" customHeight="false" outlineLevel="0" collapsed="false">
      <c r="A209" s="1" t="s">
        <v>22</v>
      </c>
      <c r="B209" s="1" t="s">
        <v>14</v>
      </c>
      <c r="C209" s="1" t="n">
        <v>5</v>
      </c>
      <c r="D209" s="7" t="s">
        <v>11</v>
      </c>
      <c r="E209" s="2" t="n">
        <v>7.59</v>
      </c>
      <c r="F209" s="2" t="n">
        <v>5.25</v>
      </c>
      <c r="G209" s="2" t="n">
        <v>6.29</v>
      </c>
      <c r="H209" s="3" t="n">
        <v>0.37</v>
      </c>
      <c r="I209" s="4" t="n">
        <f aca="false">(G215-G209)/G209</f>
        <v>0.00635930047694754</v>
      </c>
      <c r="N209" s="2"/>
      <c r="O209" s="2"/>
      <c r="P209" s="2"/>
      <c r="Q209" s="2"/>
      <c r="S209" s="4"/>
    </row>
    <row r="210" customFormat="false" ht="14.25" hidden="false" customHeight="false" outlineLevel="0" collapsed="false">
      <c r="A210" s="1" t="s">
        <v>22</v>
      </c>
      <c r="B210" s="1" t="s">
        <v>15</v>
      </c>
      <c r="C210" s="1" t="n">
        <v>5</v>
      </c>
      <c r="D210" s="7" t="s">
        <v>11</v>
      </c>
      <c r="E210" s="2" t="n">
        <v>6.99</v>
      </c>
      <c r="F210" s="2" t="n">
        <v>5.39</v>
      </c>
      <c r="G210" s="2" t="n">
        <v>6.44</v>
      </c>
      <c r="H210" s="3" t="n">
        <v>0.36</v>
      </c>
      <c r="I210" s="4" t="n">
        <f aca="false">(G216-G210)/G210</f>
        <v>0.00621118012422361</v>
      </c>
      <c r="N210" s="2"/>
      <c r="O210" s="2"/>
      <c r="P210" s="2"/>
      <c r="Q210" s="2"/>
      <c r="S210" s="4"/>
    </row>
    <row r="211" customFormat="false" ht="14.25" hidden="false" customHeight="false" outlineLevel="0" collapsed="false">
      <c r="A211" s="1" t="s">
        <v>22</v>
      </c>
      <c r="B211" s="1" t="s">
        <v>16</v>
      </c>
      <c r="C211" s="1" t="n">
        <v>5</v>
      </c>
      <c r="D211" s="7" t="s">
        <v>17</v>
      </c>
      <c r="E211" s="2" t="n">
        <v>4.72</v>
      </c>
      <c r="F211" s="2" t="n">
        <v>4.54</v>
      </c>
      <c r="G211" s="2" t="n">
        <v>4.72</v>
      </c>
      <c r="H211" s="3" t="n">
        <v>0.02</v>
      </c>
      <c r="I211" s="4" t="n">
        <f aca="false">(G217-G211)/G211</f>
        <v>0</v>
      </c>
      <c r="N211" s="2"/>
      <c r="O211" s="2"/>
      <c r="P211" s="2"/>
      <c r="Q211" s="2"/>
      <c r="S211" s="4"/>
    </row>
    <row r="212" customFormat="false" ht="14.25" hidden="false" customHeight="false" outlineLevel="0" collapsed="false">
      <c r="A212" s="1" t="s">
        <v>22</v>
      </c>
      <c r="B212" s="1" t="s">
        <v>10</v>
      </c>
      <c r="C212" s="1" t="n">
        <v>6</v>
      </c>
      <c r="D212" s="7" t="s">
        <v>11</v>
      </c>
      <c r="E212" s="2" t="n">
        <v>6.89</v>
      </c>
      <c r="F212" s="2" t="n">
        <v>5.39</v>
      </c>
      <c r="G212" s="2" t="n">
        <v>5.88</v>
      </c>
      <c r="H212" s="3" t="n">
        <v>0.26</v>
      </c>
      <c r="I212" s="4"/>
      <c r="N212" s="2"/>
      <c r="O212" s="2"/>
      <c r="P212" s="2"/>
      <c r="Q212" s="2"/>
      <c r="S212" s="4"/>
    </row>
    <row r="213" customFormat="false" ht="14.25" hidden="false" customHeight="false" outlineLevel="0" collapsed="false">
      <c r="A213" s="1" t="s">
        <v>22</v>
      </c>
      <c r="B213" s="1" t="s">
        <v>12</v>
      </c>
      <c r="C213" s="1" t="n">
        <v>6</v>
      </c>
      <c r="D213" s="7" t="s">
        <v>11</v>
      </c>
      <c r="E213" s="2" t="n">
        <v>7.46</v>
      </c>
      <c r="F213" s="2" t="n">
        <v>5.28</v>
      </c>
      <c r="G213" s="2" t="n">
        <v>5.72</v>
      </c>
      <c r="H213" s="3" t="n">
        <v>0.3</v>
      </c>
      <c r="I213" s="4"/>
      <c r="N213" s="2"/>
      <c r="O213" s="2"/>
      <c r="P213" s="2"/>
      <c r="Q213" s="2"/>
      <c r="S213" s="4"/>
    </row>
    <row r="214" customFormat="false" ht="14.25" hidden="false" customHeight="false" outlineLevel="0" collapsed="false">
      <c r="A214" s="1" t="s">
        <v>22</v>
      </c>
      <c r="B214" s="1" t="s">
        <v>13</v>
      </c>
      <c r="C214" s="1" t="n">
        <v>6</v>
      </c>
      <c r="D214" s="7" t="s">
        <v>11</v>
      </c>
      <c r="E214" s="2" t="n">
        <v>6.49</v>
      </c>
      <c r="F214" s="2" t="n">
        <v>4.2</v>
      </c>
      <c r="G214" s="2" t="n">
        <v>4.87</v>
      </c>
      <c r="H214" s="3" t="n">
        <v>0.26</v>
      </c>
      <c r="I214" s="4"/>
      <c r="N214" s="2"/>
      <c r="O214" s="2"/>
      <c r="P214" s="2"/>
      <c r="Q214" s="2"/>
      <c r="S214" s="4"/>
    </row>
    <row r="215" customFormat="false" ht="14.25" hidden="false" customHeight="false" outlineLevel="0" collapsed="false">
      <c r="A215" s="1" t="s">
        <v>22</v>
      </c>
      <c r="B215" s="1" t="s">
        <v>14</v>
      </c>
      <c r="C215" s="1" t="n">
        <v>6</v>
      </c>
      <c r="D215" s="7" t="s">
        <v>11</v>
      </c>
      <c r="E215" s="2" t="n">
        <v>7.59</v>
      </c>
      <c r="F215" s="2" t="n">
        <v>5.59</v>
      </c>
      <c r="G215" s="2" t="n">
        <v>6.33</v>
      </c>
      <c r="H215" s="3" t="n">
        <v>0.37</v>
      </c>
      <c r="I215" s="4"/>
      <c r="N215" s="2"/>
      <c r="O215" s="2"/>
      <c r="P215" s="2"/>
      <c r="Q215" s="2"/>
      <c r="S215" s="4"/>
    </row>
    <row r="216" customFormat="false" ht="14.25" hidden="false" customHeight="false" outlineLevel="0" collapsed="false">
      <c r="A216" s="1" t="s">
        <v>22</v>
      </c>
      <c r="B216" s="1" t="s">
        <v>15</v>
      </c>
      <c r="C216" s="1" t="n">
        <v>6</v>
      </c>
      <c r="D216" s="7" t="s">
        <v>11</v>
      </c>
      <c r="E216" s="2" t="n">
        <v>6.99</v>
      </c>
      <c r="F216" s="2" t="n">
        <v>5.59</v>
      </c>
      <c r="G216" s="2" t="n">
        <v>6.48</v>
      </c>
      <c r="H216" s="3" t="n">
        <v>0.36</v>
      </c>
      <c r="I216" s="4"/>
      <c r="N216" s="2"/>
      <c r="O216" s="2"/>
      <c r="P216" s="2"/>
      <c r="Q216" s="2"/>
      <c r="S216" s="4"/>
    </row>
    <row r="217" customFormat="false" ht="14.25" hidden="false" customHeight="false" outlineLevel="0" collapsed="false">
      <c r="A217" s="1" t="s">
        <v>22</v>
      </c>
      <c r="B217" s="1" t="s">
        <v>16</v>
      </c>
      <c r="C217" s="1" t="n">
        <v>6</v>
      </c>
      <c r="D217" s="7" t="s">
        <v>17</v>
      </c>
      <c r="E217" s="2" t="n">
        <v>4.72</v>
      </c>
      <c r="F217" s="2" t="n">
        <v>4.72</v>
      </c>
      <c r="G217" s="2" t="n">
        <v>4.72</v>
      </c>
      <c r="H217" s="3" t="n">
        <v>0</v>
      </c>
      <c r="I217" s="4"/>
      <c r="N217" s="2"/>
      <c r="O217" s="2"/>
      <c r="P217" s="2"/>
      <c r="Q217" s="2"/>
      <c r="S217" s="4"/>
    </row>
    <row r="218" customFormat="false" ht="14.25" hidden="false" customHeight="false" outlineLevel="0" collapsed="false">
      <c r="A218" s="1" t="s">
        <v>23</v>
      </c>
      <c r="B218" s="1" t="s">
        <v>10</v>
      </c>
      <c r="C218" s="1" t="n">
        <v>1</v>
      </c>
      <c r="D218" s="7" t="s">
        <v>11</v>
      </c>
      <c r="E218" s="2" t="n">
        <v>6.59</v>
      </c>
      <c r="F218" s="2" t="n">
        <v>5.75</v>
      </c>
      <c r="G218" s="2" t="n">
        <v>6.11</v>
      </c>
      <c r="H218" s="3" t="n">
        <v>0.19</v>
      </c>
      <c r="I218" s="4" t="n">
        <f aca="false">(G224-G218)/G218</f>
        <v>0.0376432078559737</v>
      </c>
      <c r="N218" s="2"/>
      <c r="O218" s="2"/>
      <c r="P218" s="2"/>
      <c r="Q218" s="2"/>
      <c r="S218" s="4"/>
    </row>
    <row r="219" customFormat="false" ht="14.25" hidden="false" customHeight="false" outlineLevel="0" collapsed="false">
      <c r="A219" s="1" t="s">
        <v>23</v>
      </c>
      <c r="B219" s="1" t="s">
        <v>12</v>
      </c>
      <c r="C219" s="1" t="n">
        <v>1</v>
      </c>
      <c r="D219" s="7" t="s">
        <v>11</v>
      </c>
      <c r="E219" s="2" t="n">
        <v>6.99</v>
      </c>
      <c r="F219" s="2" t="n">
        <v>5.84</v>
      </c>
      <c r="G219" s="2" t="n">
        <v>6.21</v>
      </c>
      <c r="H219" s="3" t="n">
        <v>0.23</v>
      </c>
      <c r="I219" s="4" t="n">
        <f aca="false">(G225-G219)/G219</f>
        <v>0.0402576489533011</v>
      </c>
      <c r="N219" s="2"/>
      <c r="O219" s="2"/>
      <c r="P219" s="2"/>
      <c r="Q219" s="2"/>
      <c r="S219" s="4"/>
    </row>
    <row r="220" customFormat="false" ht="14.25" hidden="false" customHeight="false" outlineLevel="0" collapsed="false">
      <c r="A220" s="1" t="s">
        <v>23</v>
      </c>
      <c r="B220" s="1" t="s">
        <v>13</v>
      </c>
      <c r="C220" s="1" t="n">
        <v>1</v>
      </c>
      <c r="D220" s="7" t="s">
        <v>11</v>
      </c>
      <c r="E220" s="2" t="n">
        <v>5.1</v>
      </c>
      <c r="F220" s="2" t="n">
        <v>4.28</v>
      </c>
      <c r="G220" s="2" t="n">
        <v>4.64</v>
      </c>
      <c r="H220" s="3" t="n">
        <v>0.18</v>
      </c>
      <c r="I220" s="4" t="n">
        <f aca="false">(G226-G220)/G220</f>
        <v>0.0237068965517242</v>
      </c>
      <c r="N220" s="2"/>
      <c r="O220" s="2"/>
      <c r="P220" s="2"/>
      <c r="Q220" s="2"/>
      <c r="S220" s="4"/>
    </row>
    <row r="221" customFormat="false" ht="14.25" hidden="false" customHeight="false" outlineLevel="0" collapsed="false">
      <c r="A221" s="1" t="s">
        <v>23</v>
      </c>
      <c r="B221" s="1" t="s">
        <v>14</v>
      </c>
      <c r="C221" s="1" t="n">
        <v>1</v>
      </c>
      <c r="D221" s="7" t="s">
        <v>11</v>
      </c>
      <c r="E221" s="2" t="n">
        <v>6.39</v>
      </c>
      <c r="F221" s="2" t="n">
        <v>5.65</v>
      </c>
      <c r="G221" s="2" t="n">
        <v>6</v>
      </c>
      <c r="H221" s="3" t="n">
        <v>0.15</v>
      </c>
      <c r="I221" s="4" t="n">
        <f aca="false">(G227-G221)/G221</f>
        <v>0.02</v>
      </c>
      <c r="N221" s="2"/>
      <c r="O221" s="2"/>
      <c r="P221" s="2"/>
      <c r="Q221" s="2"/>
      <c r="S221" s="4"/>
    </row>
    <row r="222" customFormat="false" ht="14.25" hidden="false" customHeight="false" outlineLevel="0" collapsed="false">
      <c r="A222" s="1" t="s">
        <v>23</v>
      </c>
      <c r="B222" s="1" t="s">
        <v>15</v>
      </c>
      <c r="C222" s="1" t="n">
        <v>1</v>
      </c>
      <c r="D222" s="7" t="s">
        <v>11</v>
      </c>
      <c r="E222" s="2" t="n">
        <v>6.59</v>
      </c>
      <c r="F222" s="2" t="n">
        <v>5.68</v>
      </c>
      <c r="G222" s="2" t="n">
        <v>6.23</v>
      </c>
      <c r="H222" s="3" t="n">
        <v>0.19</v>
      </c>
      <c r="I222" s="4" t="n">
        <f aca="false">(G228-G222)/G222</f>
        <v>0.0176565008025681</v>
      </c>
      <c r="N222" s="2"/>
      <c r="O222" s="2"/>
      <c r="P222" s="2"/>
      <c r="Q222" s="2"/>
      <c r="S222" s="4"/>
    </row>
    <row r="223" customFormat="false" ht="14.25" hidden="false" customHeight="false" outlineLevel="0" collapsed="false">
      <c r="A223" s="1" t="s">
        <v>23</v>
      </c>
      <c r="B223" s="1" t="s">
        <v>16</v>
      </c>
      <c r="C223" s="1" t="n">
        <v>1</v>
      </c>
      <c r="D223" s="7" t="s">
        <v>17</v>
      </c>
      <c r="I223" s="4"/>
      <c r="N223" s="2"/>
      <c r="O223" s="2"/>
      <c r="P223" s="2"/>
      <c r="Q223" s="2"/>
      <c r="S223" s="4"/>
    </row>
    <row r="224" customFormat="false" ht="14.25" hidden="false" customHeight="false" outlineLevel="0" collapsed="false">
      <c r="A224" s="1" t="s">
        <v>23</v>
      </c>
      <c r="B224" s="1" t="s">
        <v>10</v>
      </c>
      <c r="C224" s="1" t="n">
        <v>2</v>
      </c>
      <c r="D224" s="7" t="s">
        <v>11</v>
      </c>
      <c r="E224" s="2" t="n">
        <v>6.99</v>
      </c>
      <c r="F224" s="2" t="n">
        <v>5.89</v>
      </c>
      <c r="G224" s="2" t="n">
        <v>6.34</v>
      </c>
      <c r="H224" s="3" t="n">
        <v>0.18</v>
      </c>
      <c r="I224" s="4" t="n">
        <f aca="false">(G230-G224)/G224</f>
        <v>0.00315457413249219</v>
      </c>
      <c r="N224" s="2"/>
      <c r="O224" s="2"/>
      <c r="P224" s="2"/>
      <c r="Q224" s="2"/>
      <c r="S224" s="4"/>
    </row>
    <row r="225" customFormat="false" ht="14.25" hidden="false" customHeight="false" outlineLevel="0" collapsed="false">
      <c r="A225" s="1" t="s">
        <v>23</v>
      </c>
      <c r="B225" s="1" t="s">
        <v>12</v>
      </c>
      <c r="C225" s="1" t="n">
        <v>2</v>
      </c>
      <c r="D225" s="7" t="s">
        <v>11</v>
      </c>
      <c r="E225" s="2" t="n">
        <v>7.09</v>
      </c>
      <c r="F225" s="2" t="n">
        <v>6.14</v>
      </c>
      <c r="G225" s="2" t="n">
        <v>6.46</v>
      </c>
      <c r="H225" s="3" t="n">
        <v>0.2</v>
      </c>
      <c r="I225" s="4" t="n">
        <f aca="false">(G231-G225)/G225</f>
        <v>-0.00464396284829725</v>
      </c>
      <c r="N225" s="2"/>
      <c r="O225" s="2"/>
      <c r="P225" s="2"/>
      <c r="Q225" s="2"/>
      <c r="S225" s="4"/>
    </row>
    <row r="226" customFormat="false" ht="14.25" hidden="false" customHeight="false" outlineLevel="0" collapsed="false">
      <c r="A226" s="1" t="s">
        <v>23</v>
      </c>
      <c r="B226" s="1" t="s">
        <v>13</v>
      </c>
      <c r="C226" s="1" t="n">
        <v>2</v>
      </c>
      <c r="D226" s="7" t="s">
        <v>11</v>
      </c>
      <c r="E226" s="2" t="n">
        <v>5.34</v>
      </c>
      <c r="F226" s="2" t="n">
        <v>4.29</v>
      </c>
      <c r="G226" s="2" t="n">
        <v>4.75</v>
      </c>
      <c r="H226" s="3" t="n">
        <v>0.19</v>
      </c>
      <c r="I226" s="4" t="n">
        <f aca="false">(G232-G226)/G226</f>
        <v>-0.00210526315789469</v>
      </c>
      <c r="N226" s="2"/>
      <c r="O226" s="2"/>
      <c r="P226" s="2"/>
      <c r="Q226" s="2"/>
      <c r="S226" s="4"/>
    </row>
    <row r="227" customFormat="false" ht="14.25" hidden="false" customHeight="false" outlineLevel="0" collapsed="false">
      <c r="A227" s="1" t="s">
        <v>23</v>
      </c>
      <c r="B227" s="1" t="s">
        <v>14</v>
      </c>
      <c r="C227" s="1" t="n">
        <v>2</v>
      </c>
      <c r="D227" s="7" t="s">
        <v>11</v>
      </c>
      <c r="E227" s="2" t="n">
        <v>6.59</v>
      </c>
      <c r="F227" s="2" t="n">
        <v>5.73</v>
      </c>
      <c r="G227" s="2" t="n">
        <v>6.12</v>
      </c>
      <c r="H227" s="3" t="n">
        <v>0.16</v>
      </c>
      <c r="I227" s="4" t="n">
        <f aca="false">(G233-G227)/G227</f>
        <v>-0.00490196078431377</v>
      </c>
      <c r="N227" s="2"/>
      <c r="O227" s="2"/>
      <c r="P227" s="2"/>
      <c r="Q227" s="2"/>
      <c r="S227" s="4"/>
    </row>
    <row r="228" customFormat="false" ht="14.25" hidden="false" customHeight="false" outlineLevel="0" collapsed="false">
      <c r="A228" s="1" t="s">
        <v>23</v>
      </c>
      <c r="B228" s="1" t="s">
        <v>15</v>
      </c>
      <c r="C228" s="1" t="n">
        <v>2</v>
      </c>
      <c r="D228" s="7" t="s">
        <v>11</v>
      </c>
      <c r="E228" s="2" t="n">
        <v>6.98</v>
      </c>
      <c r="F228" s="2" t="n">
        <v>5.74</v>
      </c>
      <c r="G228" s="2" t="n">
        <v>6.34</v>
      </c>
      <c r="H228" s="3" t="n">
        <v>0.2</v>
      </c>
      <c r="I228" s="4" t="n">
        <f aca="false">(G234-G228)/G228</f>
        <v>-0.00315457413249205</v>
      </c>
      <c r="N228" s="2"/>
      <c r="O228" s="2"/>
      <c r="P228" s="2"/>
      <c r="Q228" s="2"/>
      <c r="S228" s="4"/>
    </row>
    <row r="229" customFormat="false" ht="14.25" hidden="false" customHeight="false" outlineLevel="0" collapsed="false">
      <c r="A229" s="1" t="s">
        <v>23</v>
      </c>
      <c r="B229" s="1" t="s">
        <v>16</v>
      </c>
      <c r="C229" s="1" t="n">
        <v>2</v>
      </c>
      <c r="D229" s="7" t="s">
        <v>17</v>
      </c>
      <c r="I229" s="4"/>
      <c r="N229" s="2"/>
      <c r="O229" s="2"/>
      <c r="P229" s="2"/>
      <c r="Q229" s="2"/>
      <c r="S229" s="4"/>
    </row>
    <row r="230" customFormat="false" ht="14.25" hidden="false" customHeight="false" outlineLevel="0" collapsed="false">
      <c r="A230" s="1" t="s">
        <v>23</v>
      </c>
      <c r="B230" s="1" t="s">
        <v>10</v>
      </c>
      <c r="C230" s="1" t="n">
        <v>3</v>
      </c>
      <c r="D230" s="7" t="s">
        <v>11</v>
      </c>
      <c r="E230" s="2" t="n">
        <v>7.09</v>
      </c>
      <c r="F230" s="2" t="n">
        <v>5.89</v>
      </c>
      <c r="G230" s="2" t="n">
        <v>6.36</v>
      </c>
      <c r="H230" s="3" t="n">
        <v>0.24</v>
      </c>
      <c r="I230" s="4" t="n">
        <f aca="false">(G236-G230)/G230</f>
        <v>-0.029874213836478</v>
      </c>
      <c r="N230" s="2"/>
      <c r="O230" s="2"/>
      <c r="P230" s="2"/>
      <c r="Q230" s="2"/>
      <c r="S230" s="4"/>
    </row>
    <row r="231" customFormat="false" ht="14.25" hidden="false" customHeight="false" outlineLevel="0" collapsed="false">
      <c r="A231" s="1" t="s">
        <v>23</v>
      </c>
      <c r="B231" s="1" t="s">
        <v>12</v>
      </c>
      <c r="C231" s="1" t="n">
        <v>3</v>
      </c>
      <c r="D231" s="7" t="s">
        <v>11</v>
      </c>
      <c r="E231" s="2" t="n">
        <v>7.09</v>
      </c>
      <c r="F231" s="2" t="n">
        <v>6.04</v>
      </c>
      <c r="G231" s="2" t="n">
        <v>6.43</v>
      </c>
      <c r="H231" s="3" t="n">
        <v>0.23</v>
      </c>
      <c r="I231" s="4" t="n">
        <f aca="false">(G237-G231)/G231</f>
        <v>-0.0295489891135303</v>
      </c>
      <c r="N231" s="2"/>
      <c r="O231" s="2"/>
      <c r="P231" s="2"/>
      <c r="Q231" s="2"/>
      <c r="S231" s="4"/>
    </row>
    <row r="232" customFormat="false" ht="14.25" hidden="false" customHeight="false" outlineLevel="0" collapsed="false">
      <c r="A232" s="1" t="s">
        <v>23</v>
      </c>
      <c r="B232" s="1" t="s">
        <v>13</v>
      </c>
      <c r="C232" s="1" t="n">
        <v>3</v>
      </c>
      <c r="D232" s="7" t="s">
        <v>11</v>
      </c>
      <c r="E232" s="2" t="n">
        <v>6.15</v>
      </c>
      <c r="F232" s="2" t="n">
        <v>4.29</v>
      </c>
      <c r="G232" s="2" t="n">
        <v>4.74</v>
      </c>
      <c r="H232" s="3" t="n">
        <v>0.21</v>
      </c>
      <c r="I232" s="4" t="n">
        <f aca="false">(G238-G232)/G232</f>
        <v>-0.00210970464135017</v>
      </c>
      <c r="N232" s="2"/>
      <c r="O232" s="2"/>
      <c r="P232" s="2"/>
      <c r="Q232" s="2"/>
      <c r="S232" s="4"/>
    </row>
    <row r="233" customFormat="false" ht="14.25" hidden="false" customHeight="false" outlineLevel="0" collapsed="false">
      <c r="A233" s="1" t="s">
        <v>23</v>
      </c>
      <c r="B233" s="1" t="s">
        <v>14</v>
      </c>
      <c r="C233" s="1" t="n">
        <v>3</v>
      </c>
      <c r="D233" s="7" t="s">
        <v>11</v>
      </c>
      <c r="E233" s="2" t="n">
        <v>6.59</v>
      </c>
      <c r="F233" s="2" t="n">
        <v>5.8</v>
      </c>
      <c r="G233" s="2" t="n">
        <v>6.09</v>
      </c>
      <c r="H233" s="3" t="n">
        <v>0.16</v>
      </c>
      <c r="I233" s="4" t="n">
        <f aca="false">(G239-G233)/G233</f>
        <v>-0.0164203612479474</v>
      </c>
      <c r="N233" s="2"/>
      <c r="O233" s="2"/>
      <c r="P233" s="2"/>
      <c r="Q233" s="2"/>
      <c r="S233" s="4"/>
    </row>
    <row r="234" customFormat="false" ht="14.25" hidden="false" customHeight="false" outlineLevel="0" collapsed="false">
      <c r="A234" s="1" t="s">
        <v>23</v>
      </c>
      <c r="B234" s="1" t="s">
        <v>15</v>
      </c>
      <c r="C234" s="1" t="n">
        <v>3</v>
      </c>
      <c r="D234" s="7" t="s">
        <v>11</v>
      </c>
      <c r="E234" s="2" t="n">
        <v>6.69</v>
      </c>
      <c r="F234" s="2" t="n">
        <v>5.89</v>
      </c>
      <c r="G234" s="2" t="n">
        <v>6.32</v>
      </c>
      <c r="H234" s="3" t="n">
        <v>0.2</v>
      </c>
      <c r="I234" s="4" t="n">
        <f aca="false">(G240-G234)/G234</f>
        <v>-0.0142405063291139</v>
      </c>
      <c r="N234" s="2"/>
      <c r="O234" s="2"/>
      <c r="P234" s="2"/>
      <c r="Q234" s="2"/>
      <c r="S234" s="4"/>
    </row>
    <row r="235" customFormat="false" ht="14.25" hidden="false" customHeight="false" outlineLevel="0" collapsed="false">
      <c r="A235" s="1" t="s">
        <v>23</v>
      </c>
      <c r="B235" s="1" t="s">
        <v>16</v>
      </c>
      <c r="C235" s="1" t="n">
        <v>3</v>
      </c>
      <c r="D235" s="7" t="s">
        <v>17</v>
      </c>
      <c r="I235" s="4"/>
      <c r="N235" s="2"/>
      <c r="O235" s="2"/>
      <c r="P235" s="2"/>
      <c r="Q235" s="2"/>
      <c r="S235" s="4"/>
    </row>
    <row r="236" customFormat="false" ht="14.25" hidden="false" customHeight="false" outlineLevel="0" collapsed="false">
      <c r="A236" s="1" t="s">
        <v>23</v>
      </c>
      <c r="B236" s="1" t="s">
        <v>10</v>
      </c>
      <c r="C236" s="1" t="n">
        <v>4</v>
      </c>
      <c r="D236" s="7" t="s">
        <v>11</v>
      </c>
      <c r="E236" s="2" t="n">
        <v>6.79</v>
      </c>
      <c r="F236" s="2" t="n">
        <v>5.74</v>
      </c>
      <c r="G236" s="2" t="n">
        <v>6.17</v>
      </c>
      <c r="H236" s="3" t="n">
        <v>0.2</v>
      </c>
      <c r="I236" s="4" t="n">
        <f aca="false">(G242-G236)/G236</f>
        <v>-0.0275526742301459</v>
      </c>
      <c r="N236" s="2"/>
      <c r="O236" s="2"/>
      <c r="P236" s="2"/>
      <c r="Q236" s="2"/>
      <c r="S236" s="4"/>
    </row>
    <row r="237" customFormat="false" ht="14.25" hidden="false" customHeight="false" outlineLevel="0" collapsed="false">
      <c r="A237" s="1" t="s">
        <v>23</v>
      </c>
      <c r="B237" s="1" t="s">
        <v>12</v>
      </c>
      <c r="C237" s="1" t="n">
        <v>4</v>
      </c>
      <c r="D237" s="7" t="s">
        <v>11</v>
      </c>
      <c r="E237" s="2" t="n">
        <v>6.89</v>
      </c>
      <c r="F237" s="2" t="n">
        <v>5.78</v>
      </c>
      <c r="G237" s="2" t="n">
        <v>6.24</v>
      </c>
      <c r="H237" s="3" t="n">
        <v>0.22</v>
      </c>
      <c r="I237" s="4" t="n">
        <f aca="false">(G243-G237)/G237</f>
        <v>-0.0208333333333333</v>
      </c>
      <c r="N237" s="2"/>
      <c r="O237" s="2"/>
      <c r="P237" s="2"/>
      <c r="Q237" s="2"/>
      <c r="S237" s="4"/>
    </row>
    <row r="238" customFormat="false" ht="14.25" hidden="false" customHeight="false" outlineLevel="0" collapsed="false">
      <c r="A238" s="1" t="s">
        <v>23</v>
      </c>
      <c r="B238" s="1" t="s">
        <v>13</v>
      </c>
      <c r="C238" s="1" t="n">
        <v>4</v>
      </c>
      <c r="D238" s="7" t="s">
        <v>11</v>
      </c>
      <c r="E238" s="2" t="n">
        <v>5.18</v>
      </c>
      <c r="F238" s="2" t="n">
        <v>4.37</v>
      </c>
      <c r="G238" s="2" t="n">
        <v>4.73</v>
      </c>
      <c r="H238" s="3" t="n">
        <v>0.19</v>
      </c>
      <c r="I238" s="4" t="n">
        <f aca="false">(G244-G238)/G238</f>
        <v>-0.010570824524313</v>
      </c>
      <c r="N238" s="2"/>
      <c r="O238" s="2"/>
      <c r="P238" s="2"/>
      <c r="Q238" s="2"/>
      <c r="S238" s="4"/>
    </row>
    <row r="239" customFormat="false" ht="14.25" hidden="false" customHeight="false" outlineLevel="0" collapsed="false">
      <c r="A239" s="1" t="s">
        <v>23</v>
      </c>
      <c r="B239" s="1" t="s">
        <v>14</v>
      </c>
      <c r="C239" s="1" t="n">
        <v>4</v>
      </c>
      <c r="D239" s="7" t="s">
        <v>11</v>
      </c>
      <c r="E239" s="2" t="n">
        <v>6.39</v>
      </c>
      <c r="F239" s="2" t="n">
        <v>5.68</v>
      </c>
      <c r="G239" s="2" t="n">
        <v>5.99</v>
      </c>
      <c r="H239" s="3" t="n">
        <v>0.16</v>
      </c>
      <c r="I239" s="4" t="n">
        <f aca="false">(G245-G239)/G239</f>
        <v>-0.0116861435726211</v>
      </c>
      <c r="N239" s="2"/>
      <c r="O239" s="2"/>
      <c r="P239" s="2"/>
      <c r="Q239" s="2"/>
      <c r="S239" s="4"/>
    </row>
    <row r="240" customFormat="false" ht="14.25" hidden="false" customHeight="false" outlineLevel="0" collapsed="false">
      <c r="A240" s="1" t="s">
        <v>23</v>
      </c>
      <c r="B240" s="1" t="s">
        <v>15</v>
      </c>
      <c r="C240" s="1" t="n">
        <v>4</v>
      </c>
      <c r="D240" s="7" t="s">
        <v>11</v>
      </c>
      <c r="E240" s="2" t="n">
        <v>6.69</v>
      </c>
      <c r="F240" s="2" t="n">
        <v>5.69</v>
      </c>
      <c r="G240" s="2" t="n">
        <v>6.23</v>
      </c>
      <c r="H240" s="3" t="n">
        <v>0.19</v>
      </c>
      <c r="I240" s="4" t="n">
        <f aca="false">(G246-G240)/G240</f>
        <v>-0.0112359550561798</v>
      </c>
      <c r="N240" s="2"/>
      <c r="O240" s="2"/>
      <c r="P240" s="2"/>
      <c r="Q240" s="2"/>
      <c r="S240" s="4"/>
    </row>
    <row r="241" customFormat="false" ht="14.25" hidden="false" customHeight="false" outlineLevel="0" collapsed="false">
      <c r="A241" s="1" t="s">
        <v>23</v>
      </c>
      <c r="B241" s="1" t="s">
        <v>16</v>
      </c>
      <c r="C241" s="1" t="n">
        <v>4</v>
      </c>
      <c r="D241" s="7" t="s">
        <v>17</v>
      </c>
      <c r="I241" s="4"/>
      <c r="N241" s="2"/>
      <c r="O241" s="2"/>
      <c r="P241" s="2"/>
      <c r="Q241" s="2"/>
      <c r="S241" s="4"/>
    </row>
    <row r="242" customFormat="false" ht="14.25" hidden="false" customHeight="false" outlineLevel="0" collapsed="false">
      <c r="A242" s="1" t="s">
        <v>23</v>
      </c>
      <c r="B242" s="1" t="s">
        <v>10</v>
      </c>
      <c r="C242" s="1" t="n">
        <v>5</v>
      </c>
      <c r="D242" s="7" t="s">
        <v>11</v>
      </c>
      <c r="E242" s="2" t="n">
        <v>6.79</v>
      </c>
      <c r="F242" s="2" t="n">
        <v>5.57</v>
      </c>
      <c r="G242" s="2" t="n">
        <v>6</v>
      </c>
      <c r="H242" s="3" t="n">
        <v>0.21</v>
      </c>
      <c r="I242" s="4" t="n">
        <f aca="false">(G248-G242)/G242</f>
        <v>-0.02</v>
      </c>
      <c r="N242" s="2"/>
      <c r="O242" s="2"/>
      <c r="P242" s="2"/>
      <c r="Q242" s="2"/>
      <c r="S242" s="4"/>
    </row>
    <row r="243" customFormat="false" ht="14.25" hidden="false" customHeight="false" outlineLevel="0" collapsed="false">
      <c r="A243" s="1" t="s">
        <v>23</v>
      </c>
      <c r="B243" s="1" t="s">
        <v>12</v>
      </c>
      <c r="C243" s="1" t="n">
        <v>5</v>
      </c>
      <c r="D243" s="7" t="s">
        <v>11</v>
      </c>
      <c r="E243" s="2" t="n">
        <v>6.79</v>
      </c>
      <c r="F243" s="2" t="n">
        <v>5.68</v>
      </c>
      <c r="G243" s="2" t="n">
        <v>6.11</v>
      </c>
      <c r="H243" s="3" t="n">
        <v>0.24</v>
      </c>
      <c r="I243" s="4" t="n">
        <f aca="false">(G249-G243)/G243</f>
        <v>-0.0196399345335516</v>
      </c>
      <c r="N243" s="2"/>
      <c r="O243" s="2"/>
      <c r="P243" s="2"/>
      <c r="Q243" s="2"/>
      <c r="S243" s="4"/>
    </row>
    <row r="244" customFormat="false" ht="14.25" hidden="false" customHeight="false" outlineLevel="0" collapsed="false">
      <c r="A244" s="1" t="s">
        <v>23</v>
      </c>
      <c r="B244" s="1" t="s">
        <v>13</v>
      </c>
      <c r="C244" s="1" t="n">
        <v>5</v>
      </c>
      <c r="D244" s="7" t="s">
        <v>11</v>
      </c>
      <c r="E244" s="2" t="n">
        <v>5.45</v>
      </c>
      <c r="F244" s="2" t="n">
        <v>4.37</v>
      </c>
      <c r="G244" s="2" t="n">
        <v>4.68</v>
      </c>
      <c r="H244" s="3" t="n">
        <v>0.19</v>
      </c>
      <c r="I244" s="4" t="n">
        <f aca="false">(G250-G244)/G244</f>
        <v>-0.00427350427350418</v>
      </c>
      <c r="N244" s="2"/>
      <c r="O244" s="2"/>
      <c r="P244" s="2"/>
      <c r="Q244" s="2"/>
      <c r="S244" s="4"/>
    </row>
    <row r="245" customFormat="false" ht="14.25" hidden="false" customHeight="false" outlineLevel="0" collapsed="false">
      <c r="A245" s="1" t="s">
        <v>23</v>
      </c>
      <c r="B245" s="1" t="s">
        <v>14</v>
      </c>
      <c r="C245" s="1" t="n">
        <v>5</v>
      </c>
      <c r="D245" s="7" t="s">
        <v>11</v>
      </c>
      <c r="E245" s="2" t="n">
        <v>6.39</v>
      </c>
      <c r="F245" s="2" t="n">
        <v>5.62</v>
      </c>
      <c r="G245" s="2" t="n">
        <v>5.92</v>
      </c>
      <c r="H245" s="3" t="n">
        <v>0.17</v>
      </c>
      <c r="I245" s="4" t="n">
        <f aca="false">(G251-G245)/G245</f>
        <v>-0.00337837837837831</v>
      </c>
      <c r="N245" s="2"/>
      <c r="O245" s="2"/>
      <c r="P245" s="2"/>
      <c r="Q245" s="2"/>
      <c r="S245" s="4"/>
    </row>
    <row r="246" customFormat="false" ht="14.25" hidden="false" customHeight="false" outlineLevel="0" collapsed="false">
      <c r="A246" s="1" t="s">
        <v>23</v>
      </c>
      <c r="B246" s="1" t="s">
        <v>15</v>
      </c>
      <c r="C246" s="1" t="n">
        <v>5</v>
      </c>
      <c r="D246" s="7" t="s">
        <v>11</v>
      </c>
      <c r="E246" s="2" t="n">
        <v>6.69</v>
      </c>
      <c r="F246" s="2" t="n">
        <v>5.69</v>
      </c>
      <c r="G246" s="2" t="n">
        <v>6.16</v>
      </c>
      <c r="H246" s="3" t="n">
        <v>0.22</v>
      </c>
      <c r="I246" s="4" t="n">
        <f aca="false">(G252-G246)/G246</f>
        <v>-0.00324675324675332</v>
      </c>
      <c r="N246" s="2"/>
      <c r="O246" s="2"/>
      <c r="P246" s="2"/>
      <c r="Q246" s="2"/>
      <c r="S246" s="4"/>
    </row>
    <row r="247" customFormat="false" ht="14.25" hidden="false" customHeight="false" outlineLevel="0" collapsed="false">
      <c r="A247" s="1" t="s">
        <v>23</v>
      </c>
      <c r="B247" s="1" t="s">
        <v>16</v>
      </c>
      <c r="C247" s="1" t="n">
        <v>5</v>
      </c>
      <c r="D247" s="7" t="s">
        <v>17</v>
      </c>
      <c r="I247" s="4"/>
      <c r="N247" s="2"/>
      <c r="O247" s="2"/>
      <c r="P247" s="2"/>
      <c r="Q247" s="2"/>
      <c r="S247" s="4"/>
    </row>
    <row r="248" customFormat="false" ht="14.25" hidden="false" customHeight="false" outlineLevel="0" collapsed="false">
      <c r="A248" s="1" t="s">
        <v>23</v>
      </c>
      <c r="B248" s="1" t="s">
        <v>10</v>
      </c>
      <c r="C248" s="1" t="n">
        <v>6</v>
      </c>
      <c r="D248" s="7" t="s">
        <v>11</v>
      </c>
      <c r="E248" s="2" t="n">
        <v>6.27</v>
      </c>
      <c r="F248" s="2" t="n">
        <v>5.54</v>
      </c>
      <c r="G248" s="2" t="n">
        <v>5.88</v>
      </c>
      <c r="H248" s="3" t="n">
        <v>0.17</v>
      </c>
      <c r="I248" s="4"/>
      <c r="N248" s="2"/>
      <c r="O248" s="2"/>
      <c r="P248" s="2"/>
      <c r="Q248" s="2"/>
      <c r="S248" s="4"/>
    </row>
    <row r="249" customFormat="false" ht="14.25" hidden="false" customHeight="false" outlineLevel="0" collapsed="false">
      <c r="A249" s="1" t="s">
        <v>23</v>
      </c>
      <c r="B249" s="1" t="s">
        <v>12</v>
      </c>
      <c r="C249" s="1" t="n">
        <v>6</v>
      </c>
      <c r="D249" s="7" t="s">
        <v>11</v>
      </c>
      <c r="E249" s="2" t="n">
        <v>6.79</v>
      </c>
      <c r="F249" s="2" t="n">
        <v>5.59</v>
      </c>
      <c r="G249" s="2" t="n">
        <v>5.99</v>
      </c>
      <c r="H249" s="3" t="n">
        <v>0.23</v>
      </c>
      <c r="I249" s="4"/>
      <c r="N249" s="2"/>
      <c r="O249" s="2"/>
      <c r="P249" s="2"/>
      <c r="Q249" s="2"/>
      <c r="S249" s="4"/>
    </row>
    <row r="250" customFormat="false" ht="14.25" hidden="false" customHeight="false" outlineLevel="0" collapsed="false">
      <c r="A250" s="1" t="s">
        <v>23</v>
      </c>
      <c r="B250" s="1" t="s">
        <v>13</v>
      </c>
      <c r="C250" s="1" t="n">
        <v>6</v>
      </c>
      <c r="D250" s="7" t="s">
        <v>11</v>
      </c>
      <c r="E250" s="2" t="n">
        <v>6.15</v>
      </c>
      <c r="F250" s="2" t="n">
        <v>4.35</v>
      </c>
      <c r="G250" s="2" t="n">
        <v>4.66</v>
      </c>
      <c r="H250" s="3" t="n">
        <v>0.22</v>
      </c>
      <c r="I250" s="4"/>
      <c r="N250" s="2"/>
      <c r="O250" s="2"/>
      <c r="P250" s="2"/>
      <c r="Q250" s="2"/>
      <c r="S250" s="4"/>
    </row>
    <row r="251" customFormat="false" ht="14.25" hidden="false" customHeight="false" outlineLevel="0" collapsed="false">
      <c r="A251" s="1" t="s">
        <v>23</v>
      </c>
      <c r="B251" s="1" t="s">
        <v>14</v>
      </c>
      <c r="C251" s="1" t="n">
        <v>6</v>
      </c>
      <c r="D251" s="7" t="s">
        <v>11</v>
      </c>
      <c r="E251" s="2" t="n">
        <v>6.39</v>
      </c>
      <c r="F251" s="2" t="n">
        <v>5.59</v>
      </c>
      <c r="G251" s="2" t="n">
        <v>5.9</v>
      </c>
      <c r="H251" s="3" t="n">
        <v>0.16</v>
      </c>
      <c r="I251" s="4"/>
      <c r="N251" s="2"/>
      <c r="O251" s="2"/>
      <c r="P251" s="2"/>
      <c r="Q251" s="2"/>
      <c r="S251" s="4"/>
    </row>
    <row r="252" customFormat="false" ht="14.25" hidden="false" customHeight="false" outlineLevel="0" collapsed="false">
      <c r="A252" s="1" t="s">
        <v>23</v>
      </c>
      <c r="B252" s="1" t="s">
        <v>15</v>
      </c>
      <c r="C252" s="1" t="n">
        <v>6</v>
      </c>
      <c r="D252" s="7" t="s">
        <v>11</v>
      </c>
      <c r="E252" s="2" t="n">
        <v>6.65</v>
      </c>
      <c r="F252" s="2" t="n">
        <v>5.67</v>
      </c>
      <c r="G252" s="2" t="n">
        <v>6.14</v>
      </c>
      <c r="H252" s="3" t="n">
        <v>0.23</v>
      </c>
      <c r="I252" s="4"/>
      <c r="N252" s="2"/>
      <c r="O252" s="2"/>
      <c r="P252" s="2"/>
      <c r="Q252" s="2"/>
      <c r="S252" s="4"/>
    </row>
    <row r="253" customFormat="false" ht="14.25" hidden="false" customHeight="false" outlineLevel="0" collapsed="false">
      <c r="A253" s="1" t="s">
        <v>23</v>
      </c>
      <c r="B253" s="1" t="s">
        <v>16</v>
      </c>
      <c r="C253" s="1" t="n">
        <v>6</v>
      </c>
      <c r="D253" s="7" t="s">
        <v>17</v>
      </c>
      <c r="I253" s="4"/>
      <c r="N253" s="2"/>
      <c r="O253" s="2"/>
      <c r="P253" s="2"/>
      <c r="Q253" s="2"/>
      <c r="S253" s="4"/>
    </row>
    <row r="254" customFormat="false" ht="14.25" hidden="false" customHeight="false" outlineLevel="0" collapsed="false">
      <c r="A254" s="1" t="s">
        <v>24</v>
      </c>
      <c r="B254" s="1" t="s">
        <v>10</v>
      </c>
      <c r="C254" s="1" t="n">
        <v>1</v>
      </c>
      <c r="D254" s="7" t="s">
        <v>11</v>
      </c>
      <c r="E254" s="2" t="n">
        <v>6.94</v>
      </c>
      <c r="F254" s="2" t="n">
        <v>5.74</v>
      </c>
      <c r="G254" s="2" t="n">
        <v>6.3</v>
      </c>
      <c r="H254" s="3" t="n">
        <v>0.27</v>
      </c>
      <c r="I254" s="4" t="n">
        <f aca="false">(G260-G254)/G254</f>
        <v>0.0571428571428572</v>
      </c>
      <c r="N254" s="2"/>
      <c r="O254" s="2"/>
      <c r="P254" s="2"/>
      <c r="Q254" s="2"/>
      <c r="S254" s="4"/>
    </row>
    <row r="255" customFormat="false" ht="14.25" hidden="false" customHeight="false" outlineLevel="0" collapsed="false">
      <c r="A255" s="1" t="s">
        <v>24</v>
      </c>
      <c r="B255" s="1" t="s">
        <v>12</v>
      </c>
      <c r="C255" s="1" t="n">
        <v>1</v>
      </c>
      <c r="D255" s="7" t="s">
        <v>11</v>
      </c>
      <c r="E255" s="2" t="n">
        <v>6.99</v>
      </c>
      <c r="F255" s="2" t="n">
        <v>5.74</v>
      </c>
      <c r="G255" s="2" t="n">
        <v>6.34</v>
      </c>
      <c r="H255" s="3" t="n">
        <v>0.29</v>
      </c>
      <c r="I255" s="4" t="n">
        <f aca="false">(G261-G255)/G255</f>
        <v>0.0583596214511041</v>
      </c>
      <c r="N255" s="2"/>
      <c r="O255" s="2"/>
      <c r="P255" s="2"/>
      <c r="Q255" s="2"/>
      <c r="S255" s="4"/>
    </row>
    <row r="256" customFormat="false" ht="14.25" hidden="false" customHeight="false" outlineLevel="0" collapsed="false">
      <c r="A256" s="1" t="s">
        <v>24</v>
      </c>
      <c r="B256" s="1" t="s">
        <v>13</v>
      </c>
      <c r="C256" s="1" t="n">
        <v>1</v>
      </c>
      <c r="D256" s="7" t="s">
        <v>11</v>
      </c>
      <c r="E256" s="2" t="n">
        <v>5.69</v>
      </c>
      <c r="F256" s="2" t="n">
        <v>3.75</v>
      </c>
      <c r="G256" s="2" t="n">
        <v>4.6</v>
      </c>
      <c r="H256" s="3" t="n">
        <v>0.45</v>
      </c>
      <c r="I256" s="4" t="n">
        <f aca="false">(G262-G256)/G256</f>
        <v>0.128260869565218</v>
      </c>
      <c r="N256" s="2"/>
      <c r="O256" s="2"/>
      <c r="P256" s="2"/>
      <c r="Q256" s="2"/>
      <c r="S256" s="4"/>
    </row>
    <row r="257" customFormat="false" ht="14.25" hidden="false" customHeight="false" outlineLevel="0" collapsed="false">
      <c r="A257" s="1" t="s">
        <v>24</v>
      </c>
      <c r="B257" s="1" t="s">
        <v>14</v>
      </c>
      <c r="C257" s="1" t="n">
        <v>1</v>
      </c>
      <c r="D257" s="7" t="s">
        <v>11</v>
      </c>
      <c r="E257" s="2" t="n">
        <v>6.89</v>
      </c>
      <c r="F257" s="2" t="n">
        <v>5.54</v>
      </c>
      <c r="G257" s="2" t="n">
        <v>6.33</v>
      </c>
      <c r="H257" s="3" t="n">
        <v>0.36</v>
      </c>
      <c r="I257" s="4" t="n">
        <f aca="false">(G263-G257)/G257</f>
        <v>0.0631911532385467</v>
      </c>
      <c r="N257" s="2"/>
      <c r="O257" s="2"/>
      <c r="P257" s="2"/>
      <c r="Q257" s="2"/>
      <c r="S257" s="4"/>
    </row>
    <row r="258" customFormat="false" ht="14.25" hidden="false" customHeight="false" outlineLevel="0" collapsed="false">
      <c r="A258" s="1" t="s">
        <v>24</v>
      </c>
      <c r="B258" s="1" t="s">
        <v>15</v>
      </c>
      <c r="C258" s="1" t="n">
        <v>1</v>
      </c>
      <c r="D258" s="7" t="s">
        <v>11</v>
      </c>
      <c r="E258" s="2" t="n">
        <v>6.89</v>
      </c>
      <c r="F258" s="2" t="n">
        <v>5.54</v>
      </c>
      <c r="G258" s="2" t="n">
        <v>6.4</v>
      </c>
      <c r="H258" s="3" t="n">
        <v>0.36</v>
      </c>
      <c r="I258" s="4" t="n">
        <f aca="false">(G264-G258)/G258</f>
        <v>0.059375</v>
      </c>
      <c r="N258" s="2"/>
      <c r="O258" s="2"/>
      <c r="P258" s="2"/>
      <c r="Q258" s="2"/>
      <c r="S258" s="4"/>
    </row>
    <row r="259" customFormat="false" ht="14.25" hidden="false" customHeight="false" outlineLevel="0" collapsed="false">
      <c r="A259" s="1" t="s">
        <v>24</v>
      </c>
      <c r="B259" s="1" t="s">
        <v>16</v>
      </c>
      <c r="C259" s="1" t="n">
        <v>1</v>
      </c>
      <c r="D259" s="7" t="s">
        <v>17</v>
      </c>
      <c r="E259" s="2" t="n">
        <v>5.09</v>
      </c>
      <c r="F259" s="2" t="n">
        <v>4.59</v>
      </c>
      <c r="G259" s="2" t="n">
        <v>4.89</v>
      </c>
      <c r="H259" s="3" t="n">
        <v>0.16</v>
      </c>
      <c r="I259" s="4" t="n">
        <f aca="false">(G265-G259)/G259</f>
        <v>0.0102249488752558</v>
      </c>
      <c r="N259" s="2"/>
      <c r="O259" s="2"/>
      <c r="P259" s="2"/>
      <c r="Q259" s="2"/>
      <c r="S259" s="4"/>
    </row>
    <row r="260" customFormat="false" ht="14.25" hidden="false" customHeight="false" outlineLevel="0" collapsed="false">
      <c r="A260" s="1" t="s">
        <v>24</v>
      </c>
      <c r="B260" s="1" t="s">
        <v>10</v>
      </c>
      <c r="C260" s="1" t="n">
        <v>2</v>
      </c>
      <c r="D260" s="7" t="s">
        <v>11</v>
      </c>
      <c r="E260" s="2" t="n">
        <v>7.29</v>
      </c>
      <c r="F260" s="2" t="n">
        <v>6.2</v>
      </c>
      <c r="G260" s="2" t="n">
        <v>6.66</v>
      </c>
      <c r="H260" s="3" t="n">
        <v>0.26</v>
      </c>
      <c r="I260" s="4" t="n">
        <f aca="false">(G266-G260)/G260</f>
        <v>-0.0195195195195195</v>
      </c>
      <c r="N260" s="2"/>
      <c r="O260" s="2"/>
      <c r="P260" s="2"/>
      <c r="Q260" s="2"/>
      <c r="S260" s="4"/>
    </row>
    <row r="261" customFormat="false" ht="14.25" hidden="false" customHeight="false" outlineLevel="0" collapsed="false">
      <c r="A261" s="1" t="s">
        <v>24</v>
      </c>
      <c r="B261" s="1" t="s">
        <v>12</v>
      </c>
      <c r="C261" s="1" t="n">
        <v>2</v>
      </c>
      <c r="D261" s="7" t="s">
        <v>11</v>
      </c>
      <c r="E261" s="2" t="n">
        <v>7.29</v>
      </c>
      <c r="F261" s="2" t="n">
        <v>6.29</v>
      </c>
      <c r="G261" s="2" t="n">
        <v>6.71</v>
      </c>
      <c r="H261" s="3" t="n">
        <v>0.26</v>
      </c>
      <c r="I261" s="4" t="n">
        <f aca="false">(G267-G261)/G261</f>
        <v>-0.0178837555886736</v>
      </c>
      <c r="N261" s="2"/>
      <c r="O261" s="2"/>
      <c r="P261" s="2"/>
      <c r="Q261" s="2"/>
      <c r="S261" s="4"/>
    </row>
    <row r="262" customFormat="false" ht="14.25" hidden="false" customHeight="false" outlineLevel="0" collapsed="false">
      <c r="A262" s="1" t="s">
        <v>24</v>
      </c>
      <c r="B262" s="1" t="s">
        <v>13</v>
      </c>
      <c r="C262" s="1" t="n">
        <v>2</v>
      </c>
      <c r="D262" s="7" t="s">
        <v>11</v>
      </c>
      <c r="E262" s="2" t="n">
        <v>5.49</v>
      </c>
      <c r="F262" s="2" t="n">
        <v>4.14</v>
      </c>
      <c r="G262" s="2" t="n">
        <v>5.19</v>
      </c>
      <c r="H262" s="3" t="n">
        <v>0.22</v>
      </c>
      <c r="I262" s="4" t="n">
        <f aca="false">(G268-G262)/G262</f>
        <v>-0.0308285163776494</v>
      </c>
      <c r="N262" s="2"/>
      <c r="O262" s="2"/>
      <c r="P262" s="2"/>
      <c r="Q262" s="2"/>
      <c r="S262" s="4"/>
    </row>
    <row r="263" customFormat="false" ht="14.25" hidden="false" customHeight="false" outlineLevel="0" collapsed="false">
      <c r="A263" s="1" t="s">
        <v>24</v>
      </c>
      <c r="B263" s="1" t="s">
        <v>14</v>
      </c>
      <c r="C263" s="1" t="n">
        <v>2</v>
      </c>
      <c r="D263" s="7" t="s">
        <v>11</v>
      </c>
      <c r="E263" s="2" t="n">
        <v>6.99</v>
      </c>
      <c r="F263" s="2" t="n">
        <v>6.58</v>
      </c>
      <c r="G263" s="2" t="n">
        <v>6.73</v>
      </c>
      <c r="H263" s="3" t="n">
        <v>0.11</v>
      </c>
      <c r="I263" s="4" t="n">
        <f aca="false">(G269-G263)/G263</f>
        <v>-0.0178306092124814</v>
      </c>
      <c r="N263" s="2"/>
      <c r="O263" s="2"/>
      <c r="P263" s="2"/>
      <c r="Q263" s="2"/>
      <c r="S263" s="4"/>
    </row>
    <row r="264" customFormat="false" ht="14.25" hidden="false" customHeight="false" outlineLevel="0" collapsed="false">
      <c r="A264" s="1" t="s">
        <v>24</v>
      </c>
      <c r="B264" s="1" t="s">
        <v>15</v>
      </c>
      <c r="C264" s="1" t="n">
        <v>2</v>
      </c>
      <c r="D264" s="7" t="s">
        <v>11</v>
      </c>
      <c r="E264" s="2" t="n">
        <v>7.05</v>
      </c>
      <c r="F264" s="2" t="n">
        <v>6.58</v>
      </c>
      <c r="G264" s="2" t="n">
        <v>6.78</v>
      </c>
      <c r="H264" s="3" t="n">
        <v>0.11</v>
      </c>
      <c r="I264" s="4" t="n">
        <f aca="false">(G270-G264)/G264</f>
        <v>-0.0191740412979351</v>
      </c>
      <c r="N264" s="2"/>
      <c r="O264" s="2"/>
      <c r="P264" s="2"/>
      <c r="Q264" s="2"/>
      <c r="S264" s="4"/>
    </row>
    <row r="265" customFormat="false" ht="14.25" hidden="false" customHeight="false" outlineLevel="0" collapsed="false">
      <c r="A265" s="1" t="s">
        <v>24</v>
      </c>
      <c r="B265" s="1" t="s">
        <v>16</v>
      </c>
      <c r="C265" s="1" t="n">
        <v>2</v>
      </c>
      <c r="D265" s="7" t="s">
        <v>17</v>
      </c>
      <c r="E265" s="2" t="n">
        <v>5.09</v>
      </c>
      <c r="F265" s="2" t="n">
        <v>4.77</v>
      </c>
      <c r="G265" s="2" t="n">
        <v>4.94</v>
      </c>
      <c r="H265" s="3" t="n">
        <v>0.13</v>
      </c>
      <c r="I265" s="4" t="n">
        <f aca="false">(G271-G265)/G265</f>
        <v>-0.0121457489878544</v>
      </c>
      <c r="N265" s="2"/>
      <c r="O265" s="2"/>
      <c r="P265" s="2"/>
      <c r="Q265" s="2"/>
      <c r="S265" s="4"/>
    </row>
    <row r="266" customFormat="false" ht="14.25" hidden="false" customHeight="false" outlineLevel="0" collapsed="false">
      <c r="A266" s="1" t="s">
        <v>24</v>
      </c>
      <c r="B266" s="1" t="s">
        <v>10</v>
      </c>
      <c r="C266" s="1" t="n">
        <v>3</v>
      </c>
      <c r="D266" s="7" t="s">
        <v>11</v>
      </c>
      <c r="E266" s="2" t="n">
        <v>7.29</v>
      </c>
      <c r="F266" s="2" t="n">
        <v>6.15</v>
      </c>
      <c r="G266" s="2" t="n">
        <v>6.53</v>
      </c>
      <c r="H266" s="3" t="n">
        <v>0.32</v>
      </c>
      <c r="I266" s="4" t="n">
        <f aca="false">(G272-G266)/G266</f>
        <v>-0.0122511485451761</v>
      </c>
      <c r="N266" s="2"/>
      <c r="O266" s="2"/>
      <c r="P266" s="2"/>
      <c r="Q266" s="2"/>
      <c r="S266" s="4"/>
    </row>
    <row r="267" customFormat="false" ht="14.25" hidden="false" customHeight="false" outlineLevel="0" collapsed="false">
      <c r="A267" s="1" t="s">
        <v>24</v>
      </c>
      <c r="B267" s="1" t="s">
        <v>12</v>
      </c>
      <c r="C267" s="1" t="n">
        <v>3</v>
      </c>
      <c r="D267" s="7" t="s">
        <v>11</v>
      </c>
      <c r="E267" s="2" t="n">
        <v>7.29</v>
      </c>
      <c r="F267" s="2" t="n">
        <v>6.18</v>
      </c>
      <c r="G267" s="2" t="n">
        <v>6.59</v>
      </c>
      <c r="H267" s="3" t="n">
        <v>0.3</v>
      </c>
      <c r="I267" s="4" t="n">
        <f aca="false">(G273-G267)/G267</f>
        <v>-0.0136570561456752</v>
      </c>
      <c r="N267" s="2"/>
      <c r="O267" s="2"/>
      <c r="P267" s="2"/>
      <c r="Q267" s="2"/>
      <c r="S267" s="4"/>
    </row>
    <row r="268" customFormat="false" ht="14.25" hidden="false" customHeight="false" outlineLevel="0" collapsed="false">
      <c r="A268" s="1" t="s">
        <v>24</v>
      </c>
      <c r="B268" s="1" t="s">
        <v>13</v>
      </c>
      <c r="C268" s="1" t="n">
        <v>3</v>
      </c>
      <c r="D268" s="7" t="s">
        <v>11</v>
      </c>
      <c r="E268" s="2" t="n">
        <v>5.49</v>
      </c>
      <c r="F268" s="2" t="n">
        <v>4.79</v>
      </c>
      <c r="G268" s="2" t="n">
        <v>5.03</v>
      </c>
      <c r="H268" s="3" t="n">
        <v>0.16</v>
      </c>
      <c r="I268" s="4" t="n">
        <f aca="false">(G274-G268)/G268</f>
        <v>-0.00795228628230617</v>
      </c>
      <c r="N268" s="2"/>
      <c r="O268" s="2"/>
      <c r="P268" s="2"/>
      <c r="Q268" s="2"/>
      <c r="S268" s="4"/>
    </row>
    <row r="269" customFormat="false" ht="14.25" hidden="false" customHeight="false" outlineLevel="0" collapsed="false">
      <c r="A269" s="1" t="s">
        <v>24</v>
      </c>
      <c r="B269" s="1" t="s">
        <v>14</v>
      </c>
      <c r="C269" s="1" t="n">
        <v>3</v>
      </c>
      <c r="D269" s="7" t="s">
        <v>11</v>
      </c>
      <c r="E269" s="2" t="n">
        <v>6.99</v>
      </c>
      <c r="F269" s="2" t="n">
        <v>6.39</v>
      </c>
      <c r="G269" s="2" t="n">
        <v>6.61</v>
      </c>
      <c r="H269" s="3" t="n">
        <v>0.13</v>
      </c>
      <c r="I269" s="4" t="n">
        <f aca="false">(G275-G269)/G269</f>
        <v>-0.0211800302571862</v>
      </c>
      <c r="N269" s="2"/>
      <c r="O269" s="2"/>
      <c r="P269" s="2"/>
      <c r="Q269" s="2"/>
      <c r="S269" s="4"/>
    </row>
    <row r="270" customFormat="false" ht="14.25" hidden="false" customHeight="false" outlineLevel="0" collapsed="false">
      <c r="A270" s="1" t="s">
        <v>24</v>
      </c>
      <c r="B270" s="1" t="s">
        <v>15</v>
      </c>
      <c r="C270" s="1" t="n">
        <v>3</v>
      </c>
      <c r="D270" s="7" t="s">
        <v>11</v>
      </c>
      <c r="E270" s="2" t="n">
        <v>6.99</v>
      </c>
      <c r="F270" s="2" t="n">
        <v>6.39</v>
      </c>
      <c r="G270" s="2" t="n">
        <v>6.65</v>
      </c>
      <c r="H270" s="3" t="n">
        <v>0.14</v>
      </c>
      <c r="I270" s="4" t="n">
        <f aca="false">(G276-G270)/G270</f>
        <v>-0.0210526315789475</v>
      </c>
      <c r="N270" s="2"/>
      <c r="O270" s="2"/>
      <c r="P270" s="2"/>
      <c r="Q270" s="2"/>
      <c r="S270" s="4"/>
    </row>
    <row r="271" customFormat="false" ht="14.25" hidden="false" customHeight="false" outlineLevel="0" collapsed="false">
      <c r="A271" s="1" t="s">
        <v>24</v>
      </c>
      <c r="B271" s="1" t="s">
        <v>16</v>
      </c>
      <c r="C271" s="1" t="n">
        <v>3</v>
      </c>
      <c r="D271" s="7" t="s">
        <v>17</v>
      </c>
      <c r="E271" s="2" t="n">
        <v>5.09</v>
      </c>
      <c r="F271" s="2" t="n">
        <v>4.59</v>
      </c>
      <c r="G271" s="2" t="n">
        <v>4.88</v>
      </c>
      <c r="H271" s="3" t="n">
        <v>0.14</v>
      </c>
      <c r="I271" s="4" t="n">
        <f aca="false">(G277-G271)/G271</f>
        <v>0.0040983606557378</v>
      </c>
      <c r="N271" s="2"/>
      <c r="O271" s="2"/>
      <c r="P271" s="2"/>
      <c r="Q271" s="2"/>
      <c r="S271" s="4"/>
    </row>
    <row r="272" customFormat="false" ht="14.25" hidden="false" customHeight="false" outlineLevel="0" collapsed="false">
      <c r="A272" s="1" t="s">
        <v>24</v>
      </c>
      <c r="B272" s="1" t="s">
        <v>10</v>
      </c>
      <c r="C272" s="1" t="n">
        <v>4</v>
      </c>
      <c r="D272" s="7" t="s">
        <v>11</v>
      </c>
      <c r="E272" s="2" t="n">
        <v>7.29</v>
      </c>
      <c r="F272" s="2" t="n">
        <v>5.99</v>
      </c>
      <c r="G272" s="2" t="n">
        <v>6.45</v>
      </c>
      <c r="H272" s="3" t="n">
        <v>0.38</v>
      </c>
      <c r="I272" s="4" t="n">
        <f aca="false">(G278-G272)/G272</f>
        <v>-0.0201550387596899</v>
      </c>
      <c r="N272" s="2"/>
      <c r="O272" s="2"/>
      <c r="P272" s="2"/>
      <c r="Q272" s="2"/>
      <c r="S272" s="4"/>
    </row>
    <row r="273" customFormat="false" ht="14.25" hidden="false" customHeight="false" outlineLevel="0" collapsed="false">
      <c r="A273" s="1" t="s">
        <v>24</v>
      </c>
      <c r="B273" s="1" t="s">
        <v>12</v>
      </c>
      <c r="C273" s="1" t="n">
        <v>4</v>
      </c>
      <c r="D273" s="7" t="s">
        <v>11</v>
      </c>
      <c r="E273" s="2" t="n">
        <v>7.29</v>
      </c>
      <c r="F273" s="2" t="n">
        <v>5.86</v>
      </c>
      <c r="G273" s="2" t="n">
        <v>6.5</v>
      </c>
      <c r="H273" s="3" t="n">
        <v>0.36</v>
      </c>
      <c r="I273" s="4" t="n">
        <f aca="false">(G279-G273)/G273</f>
        <v>-0.02</v>
      </c>
      <c r="N273" s="2"/>
      <c r="O273" s="2"/>
      <c r="P273" s="2"/>
      <c r="Q273" s="2"/>
      <c r="S273" s="4"/>
    </row>
    <row r="274" customFormat="false" ht="14.25" hidden="false" customHeight="false" outlineLevel="0" collapsed="false">
      <c r="A274" s="1" t="s">
        <v>24</v>
      </c>
      <c r="B274" s="1" t="s">
        <v>13</v>
      </c>
      <c r="C274" s="1" t="n">
        <v>4</v>
      </c>
      <c r="D274" s="7" t="s">
        <v>11</v>
      </c>
      <c r="E274" s="2" t="n">
        <v>5.69</v>
      </c>
      <c r="F274" s="2" t="n">
        <v>4.55</v>
      </c>
      <c r="G274" s="2" t="n">
        <v>4.99</v>
      </c>
      <c r="H274" s="3" t="n">
        <v>0.26</v>
      </c>
      <c r="I274" s="4" t="n">
        <f aca="false">(G280-G274)/G274</f>
        <v>0.0140280561122243</v>
      </c>
      <c r="N274" s="2"/>
      <c r="O274" s="2"/>
      <c r="P274" s="2"/>
      <c r="Q274" s="2"/>
      <c r="S274" s="4"/>
    </row>
    <row r="275" customFormat="false" ht="14.25" hidden="false" customHeight="false" outlineLevel="0" collapsed="false">
      <c r="A275" s="1" t="s">
        <v>24</v>
      </c>
      <c r="B275" s="1" t="s">
        <v>14</v>
      </c>
      <c r="C275" s="1" t="n">
        <v>4</v>
      </c>
      <c r="D275" s="7" t="s">
        <v>11</v>
      </c>
      <c r="E275" s="2" t="n">
        <v>6.99</v>
      </c>
      <c r="F275" s="2" t="n">
        <v>5.91</v>
      </c>
      <c r="G275" s="2" t="n">
        <v>6.47</v>
      </c>
      <c r="H275" s="3" t="n">
        <v>0.25</v>
      </c>
      <c r="I275" s="4" t="n">
        <f aca="false">(G281-G275)/G275</f>
        <v>-0.0139103554868624</v>
      </c>
      <c r="N275" s="2"/>
      <c r="O275" s="2"/>
      <c r="P275" s="2"/>
      <c r="Q275" s="2"/>
      <c r="S275" s="4"/>
    </row>
    <row r="276" customFormat="false" ht="14.25" hidden="false" customHeight="false" outlineLevel="0" collapsed="false">
      <c r="A276" s="1" t="s">
        <v>24</v>
      </c>
      <c r="B276" s="1" t="s">
        <v>15</v>
      </c>
      <c r="C276" s="1" t="n">
        <v>4</v>
      </c>
      <c r="D276" s="7" t="s">
        <v>11</v>
      </c>
      <c r="E276" s="2" t="n">
        <v>6.99</v>
      </c>
      <c r="F276" s="2" t="n">
        <v>5.91</v>
      </c>
      <c r="G276" s="2" t="n">
        <v>6.51</v>
      </c>
      <c r="H276" s="3" t="n">
        <v>0.25</v>
      </c>
      <c r="I276" s="4" t="n">
        <f aca="false">(G282-G276)/G276</f>
        <v>-0.0153609831029185</v>
      </c>
      <c r="N276" s="2"/>
      <c r="O276" s="2"/>
      <c r="P276" s="2"/>
      <c r="Q276" s="2"/>
      <c r="S276" s="4"/>
    </row>
    <row r="277" customFormat="false" ht="14.25" hidden="false" customHeight="false" outlineLevel="0" collapsed="false">
      <c r="A277" s="1" t="s">
        <v>24</v>
      </c>
      <c r="B277" s="1" t="s">
        <v>16</v>
      </c>
      <c r="C277" s="1" t="n">
        <v>4</v>
      </c>
      <c r="D277" s="7" t="s">
        <v>17</v>
      </c>
      <c r="E277" s="2" t="n">
        <v>5.39</v>
      </c>
      <c r="F277" s="2" t="n">
        <v>4.77</v>
      </c>
      <c r="G277" s="2" t="n">
        <v>4.9</v>
      </c>
      <c r="H277" s="3" t="n">
        <v>0.15</v>
      </c>
      <c r="I277" s="4" t="n">
        <f aca="false">(G283-G277)/G277</f>
        <v>-0.00204081632653075</v>
      </c>
      <c r="N277" s="2"/>
      <c r="O277" s="2"/>
      <c r="P277" s="2"/>
      <c r="Q277" s="2"/>
      <c r="S277" s="4"/>
    </row>
    <row r="278" customFormat="false" ht="14.25" hidden="false" customHeight="false" outlineLevel="0" collapsed="false">
      <c r="A278" s="1" t="s">
        <v>24</v>
      </c>
      <c r="B278" s="1" t="s">
        <v>10</v>
      </c>
      <c r="C278" s="1" t="n">
        <v>5</v>
      </c>
      <c r="D278" s="7" t="s">
        <v>11</v>
      </c>
      <c r="E278" s="2" t="n">
        <v>7.29</v>
      </c>
      <c r="F278" s="2" t="n">
        <v>5.78</v>
      </c>
      <c r="G278" s="2" t="n">
        <v>6.32</v>
      </c>
      <c r="H278" s="3" t="n">
        <v>0.4</v>
      </c>
      <c r="I278" s="4" t="n">
        <f aca="false">(G284-G278)/G278</f>
        <v>-0.0253164556962026</v>
      </c>
      <c r="N278" s="2"/>
      <c r="O278" s="2"/>
      <c r="P278" s="2"/>
      <c r="Q278" s="2"/>
      <c r="S278" s="4"/>
    </row>
    <row r="279" customFormat="false" ht="14.25" hidden="false" customHeight="false" outlineLevel="0" collapsed="false">
      <c r="A279" s="1" t="s">
        <v>24</v>
      </c>
      <c r="B279" s="1" t="s">
        <v>12</v>
      </c>
      <c r="C279" s="1" t="n">
        <v>5</v>
      </c>
      <c r="D279" s="7" t="s">
        <v>11</v>
      </c>
      <c r="E279" s="2" t="n">
        <v>7.29</v>
      </c>
      <c r="F279" s="2" t="n">
        <v>5.75</v>
      </c>
      <c r="G279" s="2" t="n">
        <v>6.37</v>
      </c>
      <c r="H279" s="3" t="n">
        <v>0.41</v>
      </c>
      <c r="I279" s="4" t="n">
        <f aca="false">(G285-G279)/G279</f>
        <v>-0.0235478806907379</v>
      </c>
      <c r="N279" s="2"/>
      <c r="O279" s="2"/>
      <c r="P279" s="2"/>
      <c r="Q279" s="2"/>
      <c r="S279" s="4"/>
    </row>
    <row r="280" customFormat="false" ht="14.25" hidden="false" customHeight="false" outlineLevel="0" collapsed="false">
      <c r="A280" s="1" t="s">
        <v>24</v>
      </c>
      <c r="B280" s="1" t="s">
        <v>13</v>
      </c>
      <c r="C280" s="1" t="n">
        <v>5</v>
      </c>
      <c r="D280" s="7" t="s">
        <v>11</v>
      </c>
      <c r="E280" s="2" t="n">
        <v>5.69</v>
      </c>
      <c r="F280" s="2" t="n">
        <v>4.59</v>
      </c>
      <c r="G280" s="2" t="n">
        <v>5.06</v>
      </c>
      <c r="H280" s="3" t="n">
        <v>0.29</v>
      </c>
      <c r="I280" s="4" t="n">
        <f aca="false">(G286-G280)/G280</f>
        <v>0.00592885375494076</v>
      </c>
      <c r="N280" s="2"/>
      <c r="O280" s="2"/>
      <c r="P280" s="2"/>
      <c r="Q280" s="2"/>
      <c r="S280" s="4"/>
    </row>
    <row r="281" customFormat="false" ht="14.25" hidden="false" customHeight="false" outlineLevel="0" collapsed="false">
      <c r="A281" s="1" t="s">
        <v>24</v>
      </c>
      <c r="B281" s="1" t="s">
        <v>14</v>
      </c>
      <c r="C281" s="1" t="n">
        <v>5</v>
      </c>
      <c r="D281" s="7" t="s">
        <v>11</v>
      </c>
      <c r="E281" s="2" t="n">
        <v>6.99</v>
      </c>
      <c r="F281" s="2" t="n">
        <v>5.79</v>
      </c>
      <c r="G281" s="2" t="n">
        <v>6.38</v>
      </c>
      <c r="H281" s="3" t="n">
        <v>0.3</v>
      </c>
      <c r="I281" s="4" t="n">
        <f aca="false">(G287-G281)/G281</f>
        <v>-0.00156739811912222</v>
      </c>
      <c r="N281" s="2"/>
      <c r="O281" s="2"/>
      <c r="P281" s="2"/>
      <c r="Q281" s="2"/>
      <c r="S281" s="4"/>
    </row>
    <row r="282" customFormat="false" ht="14.25" hidden="false" customHeight="false" outlineLevel="0" collapsed="false">
      <c r="A282" s="1" t="s">
        <v>24</v>
      </c>
      <c r="B282" s="1" t="s">
        <v>15</v>
      </c>
      <c r="C282" s="1" t="n">
        <v>5</v>
      </c>
      <c r="D282" s="7" t="s">
        <v>11</v>
      </c>
      <c r="E282" s="2" t="n">
        <v>6.99</v>
      </c>
      <c r="F282" s="2" t="n">
        <v>5.79</v>
      </c>
      <c r="G282" s="2" t="n">
        <v>6.41</v>
      </c>
      <c r="H282" s="3" t="n">
        <v>0.3</v>
      </c>
      <c r="I282" s="4" t="n">
        <f aca="false">(G288-G282)/G282</f>
        <v>-0.0577223088923557</v>
      </c>
      <c r="N282" s="2"/>
      <c r="O282" s="2"/>
      <c r="P282" s="2"/>
      <c r="Q282" s="2"/>
      <c r="S282" s="4"/>
    </row>
    <row r="283" customFormat="false" ht="14.25" hidden="false" customHeight="false" outlineLevel="0" collapsed="false">
      <c r="A283" s="1" t="s">
        <v>24</v>
      </c>
      <c r="B283" s="1" t="s">
        <v>16</v>
      </c>
      <c r="C283" s="1" t="n">
        <v>5</v>
      </c>
      <c r="D283" s="7" t="s">
        <v>17</v>
      </c>
      <c r="E283" s="2" t="n">
        <v>5.09</v>
      </c>
      <c r="F283" s="2" t="n">
        <v>4.59</v>
      </c>
      <c r="G283" s="2" t="n">
        <v>4.89</v>
      </c>
      <c r="H283" s="3" t="n">
        <v>0.15</v>
      </c>
      <c r="I283" s="4" t="n">
        <f aca="false">(G289-G283)/G283</f>
        <v>0.30879345603272</v>
      </c>
      <c r="N283" s="2"/>
      <c r="O283" s="2"/>
      <c r="P283" s="2"/>
      <c r="Q283" s="2"/>
      <c r="S283" s="4"/>
    </row>
    <row r="284" customFormat="false" ht="14.25" hidden="false" customHeight="false" outlineLevel="0" collapsed="false">
      <c r="A284" s="1" t="s">
        <v>24</v>
      </c>
      <c r="B284" s="1" t="s">
        <v>10</v>
      </c>
      <c r="C284" s="1" t="n">
        <v>6</v>
      </c>
      <c r="D284" s="7" t="s">
        <v>11</v>
      </c>
      <c r="E284" s="2" t="n">
        <v>6.99</v>
      </c>
      <c r="F284" s="2" t="n">
        <v>5.49</v>
      </c>
      <c r="G284" s="2" t="n">
        <v>6.16</v>
      </c>
      <c r="H284" s="3" t="n">
        <v>0.39</v>
      </c>
      <c r="I284" s="4"/>
      <c r="N284" s="2"/>
      <c r="O284" s="2"/>
      <c r="P284" s="2"/>
      <c r="Q284" s="2"/>
      <c r="S284" s="4"/>
    </row>
    <row r="285" customFormat="false" ht="14.25" hidden="false" customHeight="false" outlineLevel="0" collapsed="false">
      <c r="A285" s="1" t="s">
        <v>24</v>
      </c>
      <c r="B285" s="1" t="s">
        <v>12</v>
      </c>
      <c r="C285" s="1" t="n">
        <v>6</v>
      </c>
      <c r="D285" s="7" t="s">
        <v>11</v>
      </c>
      <c r="E285" s="2" t="n">
        <v>6.99</v>
      </c>
      <c r="F285" s="2" t="n">
        <v>5.49</v>
      </c>
      <c r="G285" s="2" t="n">
        <v>6.22</v>
      </c>
      <c r="H285" s="3" t="n">
        <v>0.42</v>
      </c>
      <c r="I285" s="4"/>
      <c r="N285" s="2"/>
      <c r="O285" s="2"/>
      <c r="P285" s="2"/>
      <c r="Q285" s="2"/>
      <c r="S285" s="4"/>
    </row>
    <row r="286" customFormat="false" ht="14.25" hidden="false" customHeight="false" outlineLevel="0" collapsed="false">
      <c r="A286" s="1" t="s">
        <v>24</v>
      </c>
      <c r="B286" s="1" t="s">
        <v>13</v>
      </c>
      <c r="C286" s="1" t="n">
        <v>6</v>
      </c>
      <c r="D286" s="7" t="s">
        <v>11</v>
      </c>
      <c r="E286" s="2" t="n">
        <v>5.49</v>
      </c>
      <c r="F286" s="2" t="n">
        <v>4.49</v>
      </c>
      <c r="G286" s="2" t="n">
        <v>5.09</v>
      </c>
      <c r="H286" s="3" t="n">
        <v>0.26</v>
      </c>
      <c r="I286" s="4"/>
      <c r="N286" s="2"/>
      <c r="O286" s="2"/>
      <c r="P286" s="2"/>
      <c r="Q286" s="2"/>
      <c r="S286" s="4"/>
    </row>
    <row r="287" customFormat="false" ht="14.25" hidden="false" customHeight="false" outlineLevel="0" collapsed="false">
      <c r="A287" s="1" t="s">
        <v>24</v>
      </c>
      <c r="B287" s="1" t="s">
        <v>14</v>
      </c>
      <c r="C287" s="1" t="n">
        <v>6</v>
      </c>
      <c r="D287" s="7" t="s">
        <v>11</v>
      </c>
      <c r="E287" s="2" t="n">
        <v>6.79</v>
      </c>
      <c r="F287" s="2" t="n">
        <v>5.59</v>
      </c>
      <c r="G287" s="2" t="n">
        <v>6.37</v>
      </c>
      <c r="H287" s="3" t="n">
        <v>0.34</v>
      </c>
      <c r="I287" s="4"/>
      <c r="N287" s="2"/>
      <c r="O287" s="2"/>
      <c r="P287" s="2"/>
      <c r="Q287" s="2"/>
      <c r="S287" s="4"/>
    </row>
    <row r="288" customFormat="false" ht="14.25" hidden="false" customHeight="false" outlineLevel="0" collapsed="false">
      <c r="A288" s="1" t="s">
        <v>24</v>
      </c>
      <c r="B288" s="1" t="s">
        <v>15</v>
      </c>
      <c r="C288" s="1" t="n">
        <v>6</v>
      </c>
      <c r="D288" s="7" t="s">
        <v>11</v>
      </c>
      <c r="E288" s="2" t="n">
        <v>6.99</v>
      </c>
      <c r="F288" s="2" t="n">
        <v>5.59</v>
      </c>
      <c r="G288" s="2" t="n">
        <v>6.04</v>
      </c>
      <c r="H288" s="3" t="n">
        <v>0.35</v>
      </c>
      <c r="I288" s="4"/>
      <c r="N288" s="2"/>
      <c r="O288" s="2"/>
      <c r="P288" s="2"/>
      <c r="Q288" s="2"/>
      <c r="S288" s="4"/>
    </row>
    <row r="289" customFormat="false" ht="14.25" hidden="false" customHeight="false" outlineLevel="0" collapsed="false">
      <c r="A289" s="1" t="s">
        <v>24</v>
      </c>
      <c r="B289" s="1" t="s">
        <v>16</v>
      </c>
      <c r="C289" s="1" t="n">
        <v>6</v>
      </c>
      <c r="D289" s="7" t="s">
        <v>17</v>
      </c>
      <c r="E289" s="2" t="n">
        <v>6.19</v>
      </c>
      <c r="F289" s="2" t="n">
        <v>4.65</v>
      </c>
      <c r="G289" s="2" t="n">
        <v>6.4</v>
      </c>
      <c r="H289" s="3" t="n">
        <v>0.3</v>
      </c>
      <c r="I289" s="4"/>
      <c r="N289" s="2"/>
      <c r="O289" s="2"/>
      <c r="P289" s="2"/>
      <c r="Q289" s="2"/>
      <c r="S289" s="4"/>
    </row>
    <row r="290" customFormat="false" ht="14.25" hidden="false" customHeight="false" outlineLevel="0" collapsed="false">
      <c r="A290" s="1" t="s">
        <v>25</v>
      </c>
      <c r="B290" s="1" t="s">
        <v>10</v>
      </c>
      <c r="C290" s="1" t="n">
        <v>1</v>
      </c>
      <c r="D290" s="7" t="s">
        <v>11</v>
      </c>
      <c r="E290" s="2" t="n">
        <v>5.99</v>
      </c>
      <c r="F290" s="2" t="n">
        <v>5.83</v>
      </c>
      <c r="G290" s="2" t="n">
        <v>4.99</v>
      </c>
      <c r="H290" s="3" t="n">
        <v>0.06</v>
      </c>
      <c r="I290" s="4" t="n">
        <f aca="false">(G296-G290)/G290</f>
        <v>-0.0180360721442885</v>
      </c>
      <c r="N290" s="2"/>
      <c r="O290" s="2"/>
      <c r="P290" s="2"/>
      <c r="Q290" s="2"/>
      <c r="S290" s="4"/>
    </row>
    <row r="291" customFormat="false" ht="14.25" hidden="false" customHeight="false" outlineLevel="0" collapsed="false">
      <c r="A291" s="1" t="s">
        <v>25</v>
      </c>
      <c r="B291" s="1" t="s">
        <v>12</v>
      </c>
      <c r="C291" s="1" t="n">
        <v>1</v>
      </c>
      <c r="D291" s="7" t="s">
        <v>11</v>
      </c>
      <c r="E291" s="2" t="n">
        <v>6.29</v>
      </c>
      <c r="F291" s="2" t="n">
        <v>5.97</v>
      </c>
      <c r="G291" s="2" t="n">
        <v>5.91</v>
      </c>
      <c r="H291" s="3" t="n">
        <v>0.09</v>
      </c>
      <c r="I291" s="4" t="n">
        <f aca="false">(G297-G291)/G291</f>
        <v>0.0270727580372251</v>
      </c>
      <c r="N291" s="2"/>
      <c r="O291" s="2"/>
      <c r="P291" s="2"/>
      <c r="Q291" s="2"/>
      <c r="S291" s="4"/>
    </row>
    <row r="292" customFormat="false" ht="14.25" hidden="false" customHeight="false" outlineLevel="0" collapsed="false">
      <c r="A292" s="1" t="s">
        <v>25</v>
      </c>
      <c r="B292" s="1" t="s">
        <v>13</v>
      </c>
      <c r="C292" s="1" t="n">
        <v>1</v>
      </c>
      <c r="D292" s="7" t="s">
        <v>11</v>
      </c>
      <c r="E292" s="2" t="n">
        <v>4.79</v>
      </c>
      <c r="F292" s="2" t="n">
        <v>4.2</v>
      </c>
      <c r="G292" s="2" t="n">
        <v>6.06</v>
      </c>
      <c r="H292" s="3" t="n">
        <v>0.15</v>
      </c>
      <c r="I292" s="4" t="n">
        <f aca="false">(G298-G292)/G292</f>
        <v>0.0346534653465347</v>
      </c>
      <c r="N292" s="2"/>
      <c r="O292" s="2"/>
      <c r="P292" s="2"/>
      <c r="Q292" s="2"/>
      <c r="S292" s="4"/>
    </row>
    <row r="293" customFormat="false" ht="14.25" hidden="false" customHeight="false" outlineLevel="0" collapsed="false">
      <c r="A293" s="1" t="s">
        <v>25</v>
      </c>
      <c r="B293" s="1" t="s">
        <v>14</v>
      </c>
      <c r="C293" s="1" t="n">
        <v>1</v>
      </c>
      <c r="D293" s="7" t="s">
        <v>11</v>
      </c>
      <c r="E293" s="2" t="n">
        <v>6.49</v>
      </c>
      <c r="F293" s="2" t="n">
        <v>6.19</v>
      </c>
      <c r="G293" s="2" t="n">
        <v>4.56</v>
      </c>
      <c r="H293" s="3" t="n">
        <v>0.1</v>
      </c>
      <c r="I293" s="4" t="n">
        <f aca="false">(G299-G293)/G293</f>
        <v>0.0592105263157896</v>
      </c>
      <c r="N293" s="2"/>
      <c r="O293" s="2"/>
      <c r="P293" s="2"/>
      <c r="Q293" s="2"/>
      <c r="S293" s="4"/>
    </row>
    <row r="294" customFormat="false" ht="14.25" hidden="false" customHeight="false" outlineLevel="0" collapsed="false">
      <c r="A294" s="1" t="s">
        <v>25</v>
      </c>
      <c r="B294" s="1" t="s">
        <v>15</v>
      </c>
      <c r="C294" s="1" t="n">
        <v>1</v>
      </c>
      <c r="D294" s="7" t="s">
        <v>11</v>
      </c>
      <c r="E294" s="2" t="n">
        <v>6.9</v>
      </c>
      <c r="F294" s="2" t="n">
        <v>6.19</v>
      </c>
      <c r="G294" s="2" t="n">
        <v>6.35</v>
      </c>
      <c r="H294" s="3" t="n">
        <v>0.17</v>
      </c>
      <c r="I294" s="4" t="n">
        <f aca="false">(G300-G294)/G294</f>
        <v>0.036220472440945</v>
      </c>
      <c r="N294" s="2"/>
      <c r="O294" s="2"/>
      <c r="P294" s="2"/>
      <c r="Q294" s="2"/>
      <c r="S294" s="4"/>
    </row>
    <row r="295" customFormat="false" ht="14.25" hidden="false" customHeight="false" outlineLevel="0" collapsed="false">
      <c r="A295" s="1" t="s">
        <v>25</v>
      </c>
      <c r="B295" s="1" t="s">
        <v>16</v>
      </c>
      <c r="C295" s="1" t="n">
        <v>1</v>
      </c>
      <c r="D295" s="7" t="s">
        <v>17</v>
      </c>
      <c r="E295" s="2" t="n">
        <v>4.9</v>
      </c>
      <c r="F295" s="2" t="n">
        <v>4.9</v>
      </c>
      <c r="G295" s="2" t="n">
        <v>6.46</v>
      </c>
      <c r="H295" s="3" t="n">
        <v>0</v>
      </c>
      <c r="I295" s="4" t="n">
        <f aca="false">(G301-G295)/G295</f>
        <v>-0.241486068111455</v>
      </c>
      <c r="N295" s="2"/>
      <c r="O295" s="2"/>
      <c r="P295" s="2"/>
      <c r="Q295" s="2"/>
      <c r="S295" s="4"/>
    </row>
    <row r="296" customFormat="false" ht="14.25" hidden="false" customHeight="false" outlineLevel="0" collapsed="false">
      <c r="A296" s="1" t="s">
        <v>25</v>
      </c>
      <c r="B296" s="1" t="s">
        <v>10</v>
      </c>
      <c r="C296" s="1" t="n">
        <v>2</v>
      </c>
      <c r="D296" s="7" t="s">
        <v>11</v>
      </c>
      <c r="E296" s="2" t="n">
        <v>6.1</v>
      </c>
      <c r="F296" s="2" t="n">
        <v>5.9</v>
      </c>
      <c r="G296" s="2" t="n">
        <v>4.9</v>
      </c>
      <c r="H296" s="3" t="n">
        <v>0.05</v>
      </c>
      <c r="I296" s="4" t="n">
        <f aca="false">(G302-G296)/G296</f>
        <v>0.248979591836735</v>
      </c>
      <c r="N296" s="2"/>
      <c r="O296" s="2"/>
      <c r="P296" s="2"/>
      <c r="Q296" s="2"/>
      <c r="S296" s="4"/>
    </row>
    <row r="297" customFormat="false" ht="14.25" hidden="false" customHeight="false" outlineLevel="0" collapsed="false">
      <c r="A297" s="1" t="s">
        <v>25</v>
      </c>
      <c r="B297" s="1" t="s">
        <v>12</v>
      </c>
      <c r="C297" s="1" t="n">
        <v>2</v>
      </c>
      <c r="D297" s="7" t="s">
        <v>11</v>
      </c>
      <c r="E297" s="2" t="n">
        <v>6.62</v>
      </c>
      <c r="F297" s="2" t="n">
        <v>6.05</v>
      </c>
      <c r="G297" s="2" t="n">
        <v>6.07</v>
      </c>
      <c r="H297" s="3" t="n">
        <v>0.14</v>
      </c>
      <c r="I297" s="4" t="n">
        <f aca="false">(G303-G297)/G297</f>
        <v>0.0395387149917627</v>
      </c>
      <c r="N297" s="2"/>
      <c r="O297" s="2"/>
      <c r="P297" s="2"/>
      <c r="Q297" s="2"/>
      <c r="S297" s="4"/>
    </row>
    <row r="298" customFormat="false" ht="14.25" hidden="false" customHeight="false" outlineLevel="0" collapsed="false">
      <c r="A298" s="1" t="s">
        <v>25</v>
      </c>
      <c r="B298" s="1" t="s">
        <v>13</v>
      </c>
      <c r="C298" s="1" t="n">
        <v>2</v>
      </c>
      <c r="D298" s="7" t="s">
        <v>11</v>
      </c>
      <c r="E298" s="2" t="n">
        <v>4.99</v>
      </c>
      <c r="F298" s="2" t="n">
        <v>4.59</v>
      </c>
      <c r="G298" s="2" t="n">
        <v>6.27</v>
      </c>
      <c r="H298" s="3" t="n">
        <v>0.1</v>
      </c>
      <c r="I298" s="4" t="n">
        <f aca="false">(G304-G298)/G298</f>
        <v>-0.223285486443381</v>
      </c>
      <c r="N298" s="2"/>
      <c r="O298" s="2"/>
      <c r="P298" s="2"/>
      <c r="Q298" s="2"/>
      <c r="S298" s="4"/>
    </row>
    <row r="299" customFormat="false" ht="14.25" hidden="false" customHeight="false" outlineLevel="0" collapsed="false">
      <c r="A299" s="1" t="s">
        <v>25</v>
      </c>
      <c r="B299" s="1" t="s">
        <v>14</v>
      </c>
      <c r="C299" s="1" t="n">
        <v>2</v>
      </c>
      <c r="D299" s="7" t="s">
        <v>11</v>
      </c>
      <c r="E299" s="2" t="n">
        <v>6.69</v>
      </c>
      <c r="F299" s="2" t="n">
        <v>6.31</v>
      </c>
      <c r="G299" s="2" t="n">
        <v>4.83</v>
      </c>
      <c r="H299" s="3" t="n">
        <v>0.09</v>
      </c>
      <c r="I299" s="4" t="n">
        <f aca="false">(G305-G299)/G299</f>
        <v>0.368530020703934</v>
      </c>
      <c r="N299" s="2"/>
      <c r="O299" s="2"/>
      <c r="P299" s="2"/>
      <c r="Q299" s="2"/>
      <c r="S299" s="4"/>
    </row>
    <row r="300" customFormat="false" ht="14.25" hidden="false" customHeight="false" outlineLevel="0" collapsed="false">
      <c r="A300" s="1" t="s">
        <v>25</v>
      </c>
      <c r="B300" s="1" t="s">
        <v>15</v>
      </c>
      <c r="C300" s="1" t="n">
        <v>2</v>
      </c>
      <c r="D300" s="7" t="s">
        <v>11</v>
      </c>
      <c r="E300" s="2" t="n">
        <v>7.01</v>
      </c>
      <c r="F300" s="2" t="n">
        <v>6.31</v>
      </c>
      <c r="G300" s="2" t="n">
        <v>6.58</v>
      </c>
      <c r="H300" s="3" t="n">
        <v>0.16</v>
      </c>
      <c r="I300" s="4" t="n">
        <f aca="false">(G306-G300)/G300</f>
        <v>0.0182370820668693</v>
      </c>
      <c r="N300" s="2"/>
      <c r="O300" s="2"/>
      <c r="P300" s="2"/>
      <c r="Q300" s="2"/>
      <c r="S300" s="4"/>
    </row>
    <row r="301" customFormat="false" ht="14.25" hidden="false" customHeight="false" outlineLevel="0" collapsed="false">
      <c r="A301" s="1" t="s">
        <v>25</v>
      </c>
      <c r="B301" s="1" t="s">
        <v>16</v>
      </c>
      <c r="C301" s="1" t="n">
        <v>2</v>
      </c>
      <c r="D301" s="7" t="s">
        <v>17</v>
      </c>
      <c r="E301" s="2" t="n">
        <v>4.9</v>
      </c>
      <c r="F301" s="2" t="n">
        <v>4.9</v>
      </c>
      <c r="G301" s="2" t="n">
        <v>4.9</v>
      </c>
      <c r="H301" s="3" t="n">
        <v>0</v>
      </c>
      <c r="I301" s="4" t="n">
        <f aca="false">(G307-G301)/G301</f>
        <v>0</v>
      </c>
      <c r="N301" s="2"/>
      <c r="O301" s="2"/>
      <c r="P301" s="2"/>
      <c r="Q301" s="2"/>
      <c r="S301" s="4"/>
    </row>
    <row r="302" customFormat="false" ht="14.25" hidden="false" customHeight="false" outlineLevel="0" collapsed="false">
      <c r="A302" s="1" t="s">
        <v>25</v>
      </c>
      <c r="B302" s="1" t="s">
        <v>10</v>
      </c>
      <c r="C302" s="1" t="n">
        <v>3</v>
      </c>
      <c r="D302" s="7" t="s">
        <v>11</v>
      </c>
      <c r="E302" s="2" t="n">
        <v>6.29</v>
      </c>
      <c r="F302" s="2" t="n">
        <v>6.08</v>
      </c>
      <c r="G302" s="2" t="n">
        <v>6.12</v>
      </c>
      <c r="H302" s="3" t="n">
        <v>0.06</v>
      </c>
      <c r="I302" s="4" t="n">
        <f aca="false">(G308-G302)/G302</f>
        <v>-0.0490196078431372</v>
      </c>
      <c r="N302" s="2"/>
      <c r="O302" s="2"/>
      <c r="P302" s="2"/>
      <c r="Q302" s="2"/>
      <c r="S302" s="4"/>
    </row>
    <row r="303" customFormat="false" ht="14.25" hidden="false" customHeight="false" outlineLevel="0" collapsed="false">
      <c r="A303" s="1" t="s">
        <v>25</v>
      </c>
      <c r="B303" s="1" t="s">
        <v>12</v>
      </c>
      <c r="C303" s="1" t="n">
        <v>3</v>
      </c>
      <c r="D303" s="7" t="s">
        <v>11</v>
      </c>
      <c r="E303" s="2" t="n">
        <v>6.69</v>
      </c>
      <c r="F303" s="2" t="n">
        <v>6.23</v>
      </c>
      <c r="G303" s="2" t="n">
        <v>6.31</v>
      </c>
      <c r="H303" s="3" t="n">
        <v>0.14</v>
      </c>
      <c r="I303" s="4" t="n">
        <f aca="false">(G309-G303)/G303</f>
        <v>-0.0459587955625991</v>
      </c>
      <c r="N303" s="2"/>
      <c r="O303" s="2"/>
      <c r="P303" s="2"/>
      <c r="Q303" s="2"/>
      <c r="S303" s="4"/>
    </row>
    <row r="304" customFormat="false" ht="14.25" hidden="false" customHeight="false" outlineLevel="0" collapsed="false">
      <c r="A304" s="1" t="s">
        <v>25</v>
      </c>
      <c r="B304" s="1" t="s">
        <v>13</v>
      </c>
      <c r="C304" s="1" t="n">
        <v>3</v>
      </c>
      <c r="D304" s="7" t="s">
        <v>11</v>
      </c>
      <c r="E304" s="2" t="n">
        <v>4.99</v>
      </c>
      <c r="F304" s="2" t="n">
        <v>4.8</v>
      </c>
      <c r="G304" s="2" t="n">
        <v>4.87</v>
      </c>
      <c r="H304" s="3" t="n">
        <v>0.07</v>
      </c>
      <c r="I304" s="4" t="n">
        <f aca="false">(G310-G304)/G304</f>
        <v>0</v>
      </c>
      <c r="N304" s="2"/>
      <c r="O304" s="2"/>
      <c r="P304" s="2"/>
      <c r="Q304" s="2"/>
      <c r="S304" s="4"/>
    </row>
    <row r="305" customFormat="false" ht="14.25" hidden="false" customHeight="false" outlineLevel="0" collapsed="false">
      <c r="A305" s="1" t="s">
        <v>25</v>
      </c>
      <c r="B305" s="1" t="s">
        <v>14</v>
      </c>
      <c r="C305" s="1" t="n">
        <v>3</v>
      </c>
      <c r="D305" s="7" t="s">
        <v>11</v>
      </c>
      <c r="E305" s="2" t="n">
        <v>6.69</v>
      </c>
      <c r="F305" s="2" t="n">
        <v>6.51</v>
      </c>
      <c r="G305" s="2" t="n">
        <v>6.61</v>
      </c>
      <c r="H305" s="3" t="n">
        <v>0.07</v>
      </c>
      <c r="I305" s="4" t="n">
        <f aca="false">(G311-G305)/G305</f>
        <v>-0.0090771558245084</v>
      </c>
      <c r="N305" s="2"/>
      <c r="O305" s="2"/>
      <c r="P305" s="2"/>
      <c r="Q305" s="2"/>
      <c r="S305" s="4"/>
    </row>
    <row r="306" customFormat="false" ht="14.25" hidden="false" customHeight="false" outlineLevel="0" collapsed="false">
      <c r="A306" s="1" t="s">
        <v>25</v>
      </c>
      <c r="B306" s="1" t="s">
        <v>15</v>
      </c>
      <c r="C306" s="1" t="n">
        <v>3</v>
      </c>
      <c r="D306" s="7" t="s">
        <v>11</v>
      </c>
      <c r="E306" s="2" t="n">
        <v>7.01</v>
      </c>
      <c r="F306" s="2" t="n">
        <v>6.51</v>
      </c>
      <c r="G306" s="2" t="n">
        <v>6.7</v>
      </c>
      <c r="H306" s="3" t="n">
        <v>0.14</v>
      </c>
      <c r="I306" s="4" t="n">
        <f aca="false">(G312-G306)/G306</f>
        <v>-0.00895522388059709</v>
      </c>
      <c r="N306" s="2"/>
      <c r="O306" s="2"/>
      <c r="P306" s="2"/>
      <c r="Q306" s="2"/>
      <c r="S306" s="4"/>
    </row>
    <row r="307" customFormat="false" ht="14.25" hidden="false" customHeight="false" outlineLevel="0" collapsed="false">
      <c r="A307" s="1" t="s">
        <v>25</v>
      </c>
      <c r="B307" s="1" t="s">
        <v>16</v>
      </c>
      <c r="C307" s="1" t="n">
        <v>3</v>
      </c>
      <c r="D307" s="7" t="s">
        <v>17</v>
      </c>
      <c r="E307" s="2" t="n">
        <v>4.9</v>
      </c>
      <c r="F307" s="2" t="n">
        <v>4.9</v>
      </c>
      <c r="G307" s="2" t="n">
        <v>4.9</v>
      </c>
      <c r="H307" s="3" t="n">
        <v>0</v>
      </c>
      <c r="I307" s="4" t="n">
        <f aca="false">(G313-G307)/G307</f>
        <v>0.00142857142857136</v>
      </c>
      <c r="N307" s="2"/>
      <c r="O307" s="2"/>
      <c r="P307" s="2"/>
      <c r="Q307" s="2"/>
      <c r="S307" s="4"/>
    </row>
    <row r="308" customFormat="false" ht="14.25" hidden="false" customHeight="false" outlineLevel="0" collapsed="false">
      <c r="A308" s="1" t="s">
        <v>25</v>
      </c>
      <c r="B308" s="1" t="s">
        <v>10</v>
      </c>
      <c r="C308" s="1" t="n">
        <v>4</v>
      </c>
      <c r="D308" s="7" t="s">
        <v>11</v>
      </c>
      <c r="E308" s="2" t="n">
        <v>6.29</v>
      </c>
      <c r="F308" s="2" t="n">
        <v>5.63</v>
      </c>
      <c r="G308" s="2" t="n">
        <v>5.82</v>
      </c>
      <c r="H308" s="3" t="n">
        <v>0.21</v>
      </c>
      <c r="I308" s="4" t="n">
        <f aca="false">(G314-G308)/G308</f>
        <v>-0.0326460481099657</v>
      </c>
      <c r="N308" s="2"/>
      <c r="O308" s="2"/>
      <c r="P308" s="2"/>
      <c r="Q308" s="2"/>
      <c r="S308" s="4"/>
    </row>
    <row r="309" customFormat="false" ht="14.25" hidden="false" customHeight="false" outlineLevel="0" collapsed="false">
      <c r="A309" s="1" t="s">
        <v>25</v>
      </c>
      <c r="B309" s="1" t="s">
        <v>12</v>
      </c>
      <c r="C309" s="1" t="n">
        <v>4</v>
      </c>
      <c r="D309" s="7" t="s">
        <v>11</v>
      </c>
      <c r="E309" s="2" t="n">
        <v>6.69</v>
      </c>
      <c r="F309" s="2" t="n">
        <v>5.78</v>
      </c>
      <c r="G309" s="2" t="n">
        <v>6.02</v>
      </c>
      <c r="H309" s="3" t="n">
        <v>0.27</v>
      </c>
      <c r="I309" s="4" t="n">
        <f aca="false">(G315-G309)/G309</f>
        <v>-0.0315614617940199</v>
      </c>
      <c r="N309" s="2"/>
      <c r="O309" s="2"/>
      <c r="P309" s="2"/>
      <c r="Q309" s="2"/>
      <c r="S309" s="4"/>
    </row>
    <row r="310" customFormat="false" ht="14.25" hidden="false" customHeight="false" outlineLevel="0" collapsed="false">
      <c r="A310" s="1" t="s">
        <v>25</v>
      </c>
      <c r="B310" s="1" t="s">
        <v>13</v>
      </c>
      <c r="C310" s="1" t="n">
        <v>4</v>
      </c>
      <c r="D310" s="7" t="s">
        <v>11</v>
      </c>
      <c r="E310" s="2" t="n">
        <v>4.99</v>
      </c>
      <c r="F310" s="2" t="n">
        <v>4.75</v>
      </c>
      <c r="G310" s="2" t="n">
        <v>4.87</v>
      </c>
      <c r="H310" s="3" t="n">
        <v>0.07</v>
      </c>
      <c r="I310" s="4" t="n">
        <f aca="false">(G316-G310)/G310</f>
        <v>0.00410677618069806</v>
      </c>
      <c r="N310" s="2"/>
      <c r="O310" s="2"/>
      <c r="P310" s="2"/>
      <c r="Q310" s="2"/>
      <c r="S310" s="4"/>
    </row>
    <row r="311" customFormat="false" ht="14.25" hidden="false" customHeight="false" outlineLevel="0" collapsed="false">
      <c r="A311" s="1" t="s">
        <v>25</v>
      </c>
      <c r="B311" s="1" t="s">
        <v>14</v>
      </c>
      <c r="C311" s="1" t="n">
        <v>4</v>
      </c>
      <c r="D311" s="7" t="s">
        <v>11</v>
      </c>
      <c r="E311" s="2" t="n">
        <v>6.69</v>
      </c>
      <c r="F311" s="2" t="n">
        <v>6.41</v>
      </c>
      <c r="G311" s="2" t="n">
        <v>6.55</v>
      </c>
      <c r="H311" s="3" t="n">
        <v>0.09</v>
      </c>
      <c r="I311" s="4" t="n">
        <f aca="false">(G317-G311)/G311</f>
        <v>0.00458015267175576</v>
      </c>
      <c r="N311" s="2"/>
      <c r="O311" s="2"/>
      <c r="P311" s="2"/>
      <c r="Q311" s="2"/>
      <c r="S311" s="4"/>
    </row>
    <row r="312" customFormat="false" ht="14.25" hidden="false" customHeight="false" outlineLevel="0" collapsed="false">
      <c r="A312" s="1" t="s">
        <v>25</v>
      </c>
      <c r="B312" s="1" t="s">
        <v>15</v>
      </c>
      <c r="C312" s="1" t="n">
        <v>4</v>
      </c>
      <c r="D312" s="7" t="s">
        <v>11</v>
      </c>
      <c r="E312" s="2" t="n">
        <v>7.01</v>
      </c>
      <c r="F312" s="2" t="n">
        <v>6.41</v>
      </c>
      <c r="G312" s="2" t="n">
        <v>6.64</v>
      </c>
      <c r="H312" s="3" t="n">
        <v>0.15</v>
      </c>
      <c r="I312" s="4" t="n">
        <f aca="false">(G318-G312)/G312</f>
        <v>0.00301204819277115</v>
      </c>
      <c r="N312" s="2"/>
      <c r="O312" s="2"/>
      <c r="P312" s="2"/>
      <c r="Q312" s="2"/>
      <c r="S312" s="4"/>
    </row>
    <row r="313" customFormat="false" ht="14.25" hidden="false" customHeight="false" outlineLevel="0" collapsed="false">
      <c r="A313" s="1" t="s">
        <v>25</v>
      </c>
      <c r="B313" s="1" t="s">
        <v>16</v>
      </c>
      <c r="C313" s="1" t="n">
        <v>4</v>
      </c>
      <c r="D313" s="7" t="s">
        <v>17</v>
      </c>
      <c r="E313" s="2" t="n">
        <v>4.9</v>
      </c>
      <c r="F313" s="2" t="n">
        <v>4.9</v>
      </c>
      <c r="G313" s="2" t="n">
        <v>4.907</v>
      </c>
      <c r="H313" s="3" t="n">
        <v>0</v>
      </c>
      <c r="I313" s="4" t="n">
        <f aca="false">(G319-G313)/G313</f>
        <v>0.0128388017118402</v>
      </c>
      <c r="N313" s="2"/>
      <c r="O313" s="2"/>
      <c r="P313" s="2"/>
      <c r="Q313" s="2"/>
      <c r="S313" s="4"/>
    </row>
    <row r="314" customFormat="false" ht="14.25" hidden="false" customHeight="false" outlineLevel="0" collapsed="false">
      <c r="A314" s="1" t="s">
        <v>25</v>
      </c>
      <c r="B314" s="1" t="s">
        <v>10</v>
      </c>
      <c r="C314" s="1" t="n">
        <v>5</v>
      </c>
      <c r="D314" s="7" t="s">
        <v>11</v>
      </c>
      <c r="E314" s="2" t="n">
        <v>6.25</v>
      </c>
      <c r="F314" s="2" t="n">
        <v>5.47</v>
      </c>
      <c r="G314" s="2" t="n">
        <v>5.63</v>
      </c>
      <c r="H314" s="3" t="n">
        <v>0.22</v>
      </c>
      <c r="I314" s="4" t="n">
        <f aca="false">(G320-G314)/G314</f>
        <v>-0.00532859680284196</v>
      </c>
      <c r="N314" s="2"/>
      <c r="O314" s="2"/>
      <c r="P314" s="2"/>
      <c r="Q314" s="2"/>
      <c r="S314" s="4"/>
    </row>
    <row r="315" customFormat="false" ht="14.25" hidden="false" customHeight="false" outlineLevel="0" collapsed="false">
      <c r="A315" s="1" t="s">
        <v>25</v>
      </c>
      <c r="B315" s="1" t="s">
        <v>12</v>
      </c>
      <c r="C315" s="1" t="n">
        <v>5</v>
      </c>
      <c r="D315" s="7" t="s">
        <v>11</v>
      </c>
      <c r="E315" s="2" t="n">
        <v>6.62</v>
      </c>
      <c r="F315" s="2" t="n">
        <v>5.64</v>
      </c>
      <c r="G315" s="2" t="n">
        <v>5.83</v>
      </c>
      <c r="H315" s="3" t="n">
        <v>0.24</v>
      </c>
      <c r="I315" s="4" t="n">
        <f aca="false">(G321-G315)/G315</f>
        <v>-0.00686106346483706</v>
      </c>
      <c r="N315" s="2"/>
      <c r="O315" s="2"/>
      <c r="P315" s="2"/>
      <c r="Q315" s="2"/>
      <c r="S315" s="4"/>
    </row>
    <row r="316" customFormat="false" ht="14.25" hidden="false" customHeight="false" outlineLevel="0" collapsed="false">
      <c r="A316" s="1" t="s">
        <v>25</v>
      </c>
      <c r="B316" s="1" t="s">
        <v>13</v>
      </c>
      <c r="C316" s="1" t="n">
        <v>5</v>
      </c>
      <c r="D316" s="7" t="s">
        <v>11</v>
      </c>
      <c r="E316" s="2" t="n">
        <v>4.99</v>
      </c>
      <c r="F316" s="2" t="n">
        <v>4.75</v>
      </c>
      <c r="G316" s="2" t="n">
        <v>4.89</v>
      </c>
      <c r="H316" s="3" t="n">
        <v>0.09</v>
      </c>
      <c r="I316" s="4" t="n">
        <f aca="false">(G322-G316)/G316</f>
        <v>0.00817995910020451</v>
      </c>
      <c r="N316" s="2"/>
      <c r="O316" s="2"/>
      <c r="P316" s="2"/>
      <c r="Q316" s="2"/>
      <c r="S316" s="4"/>
    </row>
    <row r="317" customFormat="false" ht="14.25" hidden="false" customHeight="false" outlineLevel="0" collapsed="false">
      <c r="A317" s="1" t="s">
        <v>25</v>
      </c>
      <c r="B317" s="1" t="s">
        <v>14</v>
      </c>
      <c r="C317" s="1" t="n">
        <v>5</v>
      </c>
      <c r="D317" s="7" t="s">
        <v>11</v>
      </c>
      <c r="E317" s="2" t="n">
        <v>6.69</v>
      </c>
      <c r="F317" s="2" t="n">
        <v>6.39</v>
      </c>
      <c r="G317" s="2" t="n">
        <v>6.58</v>
      </c>
      <c r="H317" s="3" t="n">
        <v>0.09</v>
      </c>
      <c r="I317" s="4" t="n">
        <f aca="false">(G323-G317)/G317</f>
        <v>0.00151975683890574</v>
      </c>
      <c r="N317" s="2"/>
      <c r="O317" s="2"/>
      <c r="P317" s="2"/>
      <c r="Q317" s="2"/>
      <c r="S317" s="4"/>
    </row>
    <row r="318" customFormat="false" ht="14.25" hidden="false" customHeight="false" outlineLevel="0" collapsed="false">
      <c r="A318" s="1" t="s">
        <v>25</v>
      </c>
      <c r="B318" s="1" t="s">
        <v>15</v>
      </c>
      <c r="C318" s="1" t="n">
        <v>5</v>
      </c>
      <c r="D318" s="7" t="s">
        <v>11</v>
      </c>
      <c r="E318" s="2" t="n">
        <v>7.01</v>
      </c>
      <c r="F318" s="2" t="n">
        <v>6.39</v>
      </c>
      <c r="G318" s="2" t="n">
        <v>6.66</v>
      </c>
      <c r="H318" s="3" t="n">
        <v>0.15</v>
      </c>
      <c r="I318" s="4" t="n">
        <f aca="false">(G324-G318)/G318</f>
        <v>0.00150150150150147</v>
      </c>
      <c r="N318" s="2"/>
      <c r="O318" s="2"/>
      <c r="P318" s="2"/>
      <c r="Q318" s="2"/>
      <c r="S318" s="4"/>
    </row>
    <row r="319" customFormat="false" ht="14.25" hidden="false" customHeight="false" outlineLevel="0" collapsed="false">
      <c r="A319" s="1" t="s">
        <v>25</v>
      </c>
      <c r="B319" s="1" t="s">
        <v>16</v>
      </c>
      <c r="C319" s="1" t="n">
        <v>5</v>
      </c>
      <c r="D319" s="7" t="s">
        <v>17</v>
      </c>
      <c r="E319" s="2" t="n">
        <v>4.99</v>
      </c>
      <c r="F319" s="2" t="n">
        <v>4.9</v>
      </c>
      <c r="G319" s="2" t="n">
        <v>4.97</v>
      </c>
      <c r="H319" s="3" t="n">
        <v>0.04</v>
      </c>
      <c r="I319" s="4" t="n">
        <f aca="false">(G325-G319)/G319</f>
        <v>0.00402414486921539</v>
      </c>
      <c r="N319" s="2"/>
      <c r="O319" s="2"/>
      <c r="P319" s="2"/>
      <c r="Q319" s="2"/>
      <c r="S319" s="4"/>
    </row>
    <row r="320" customFormat="false" ht="14.25" hidden="false" customHeight="false" outlineLevel="0" collapsed="false">
      <c r="A320" s="1" t="s">
        <v>25</v>
      </c>
      <c r="B320" s="1" t="s">
        <v>10</v>
      </c>
      <c r="C320" s="1" t="n">
        <v>6</v>
      </c>
      <c r="D320" s="7" t="s">
        <v>11</v>
      </c>
      <c r="E320" s="2" t="n">
        <v>6.25</v>
      </c>
      <c r="F320" s="2" t="n">
        <v>5.47</v>
      </c>
      <c r="G320" s="2" t="n">
        <v>5.6</v>
      </c>
      <c r="H320" s="3" t="n">
        <v>0.22</v>
      </c>
      <c r="N320" s="2"/>
      <c r="O320" s="2"/>
      <c r="P320" s="2"/>
      <c r="Q320" s="2"/>
      <c r="S320" s="4"/>
    </row>
    <row r="321" customFormat="false" ht="14.25" hidden="false" customHeight="false" outlineLevel="0" collapsed="false">
      <c r="A321" s="1" t="s">
        <v>25</v>
      </c>
      <c r="B321" s="1" t="s">
        <v>12</v>
      </c>
      <c r="C321" s="1" t="n">
        <v>6</v>
      </c>
      <c r="D321" s="7" t="s">
        <v>11</v>
      </c>
      <c r="E321" s="2" t="n">
        <v>6.29</v>
      </c>
      <c r="F321" s="2" t="n">
        <v>5.64</v>
      </c>
      <c r="G321" s="2" t="n">
        <v>5.79</v>
      </c>
      <c r="H321" s="3" t="n">
        <v>0.23</v>
      </c>
      <c r="N321" s="2"/>
      <c r="O321" s="2"/>
      <c r="P321" s="2"/>
      <c r="Q321" s="2"/>
      <c r="S321" s="4"/>
    </row>
    <row r="322" customFormat="false" ht="14.25" hidden="false" customHeight="false" outlineLevel="0" collapsed="false">
      <c r="A322" s="1" t="s">
        <v>25</v>
      </c>
      <c r="B322" s="1" t="s">
        <v>13</v>
      </c>
      <c r="C322" s="1" t="n">
        <v>6</v>
      </c>
      <c r="D322" s="7" t="s">
        <v>11</v>
      </c>
      <c r="E322" s="2" t="n">
        <v>4.99</v>
      </c>
      <c r="F322" s="2" t="n">
        <v>4.75</v>
      </c>
      <c r="G322" s="2" t="n">
        <v>4.93</v>
      </c>
      <c r="H322" s="3" t="n">
        <v>0.07</v>
      </c>
      <c r="N322" s="2"/>
      <c r="O322" s="2"/>
      <c r="P322" s="2"/>
      <c r="Q322" s="2"/>
      <c r="S322" s="4"/>
    </row>
    <row r="323" customFormat="false" ht="14.25" hidden="false" customHeight="false" outlineLevel="0" collapsed="false">
      <c r="A323" s="1" t="s">
        <v>25</v>
      </c>
      <c r="B323" s="1" t="s">
        <v>14</v>
      </c>
      <c r="C323" s="1" t="n">
        <v>6</v>
      </c>
      <c r="D323" s="7" t="s">
        <v>11</v>
      </c>
      <c r="E323" s="2" t="n">
        <v>6.69</v>
      </c>
      <c r="F323" s="2" t="n">
        <v>6.39</v>
      </c>
      <c r="G323" s="2" t="n">
        <v>6.59</v>
      </c>
      <c r="H323" s="3" t="n">
        <v>0.1</v>
      </c>
      <c r="N323" s="2"/>
      <c r="O323" s="2"/>
      <c r="P323" s="2"/>
      <c r="Q323" s="2"/>
      <c r="S323" s="4"/>
    </row>
    <row r="324" customFormat="false" ht="14.25" hidden="false" customHeight="false" outlineLevel="0" collapsed="false">
      <c r="A324" s="1" t="s">
        <v>25</v>
      </c>
      <c r="B324" s="1" t="s">
        <v>15</v>
      </c>
      <c r="C324" s="1" t="n">
        <v>6</v>
      </c>
      <c r="D324" s="7" t="s">
        <v>11</v>
      </c>
      <c r="E324" s="2" t="n">
        <v>7.01</v>
      </c>
      <c r="F324" s="2" t="n">
        <v>6.39</v>
      </c>
      <c r="G324" s="2" t="n">
        <v>6.67</v>
      </c>
      <c r="H324" s="3" t="n">
        <v>0.16</v>
      </c>
      <c r="N324" s="2"/>
      <c r="O324" s="2"/>
      <c r="P324" s="2"/>
      <c r="Q324" s="2"/>
      <c r="S324" s="4"/>
    </row>
    <row r="325" customFormat="false" ht="14.25" hidden="false" customHeight="false" outlineLevel="0" collapsed="false">
      <c r="A325" s="1" t="s">
        <v>25</v>
      </c>
      <c r="B325" s="1" t="s">
        <v>16</v>
      </c>
      <c r="C325" s="1" t="n">
        <v>6</v>
      </c>
      <c r="D325" s="7" t="s">
        <v>17</v>
      </c>
      <c r="E325" s="2" t="n">
        <v>4.99</v>
      </c>
      <c r="F325" s="2" t="n">
        <v>4.99</v>
      </c>
      <c r="G325" s="2" t="n">
        <v>4.99</v>
      </c>
      <c r="H325" s="3" t="n">
        <v>0</v>
      </c>
      <c r="N325" s="2"/>
      <c r="O325" s="2"/>
      <c r="P325" s="2"/>
      <c r="Q325" s="2"/>
      <c r="S325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Paulo</dc:creator>
  <dc:description/>
  <dc:language>pt-BR</dc:language>
  <cp:lastModifiedBy/>
  <dcterms:modified xsi:type="dcterms:W3CDTF">2025-11-11T22:20:42Z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